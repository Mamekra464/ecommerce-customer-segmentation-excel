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Goal seek" sheetId="2" state="visible" r:id="rId4"/>
    <sheet name="Dashboard " sheetId="3" state="visible" r:id="rId5"/>
    <sheet name="Visualization" sheetId="4" state="visible" r:id="rId6"/>
    <sheet name="Pivot_Analysis_1" sheetId="5" state="visible" r:id="rId7"/>
    <sheet name="Pivot_Analysis_2" sheetId="6" state="visible" r:id="rId8"/>
    <sheet name="Pivot_Analysis_3" sheetId="7" state="visible" r:id="rId9"/>
    <sheet name="Pivot_Analysis_4" sheetId="8" state="visible" r:id="rId10"/>
  </sheets>
  <definedNames>
    <definedName function="false" hidden="true" localSheetId="0" name="_xlnm._FilterDatabase" vbProcedure="false">Data!$A$1:$F$61</definedName>
    <definedName function="false" hidden="false" name="Slicer_City" vbProcedure="false">#N/A</definedName>
    <definedName function="false" hidden="false" name="Slicer_Gender" vbProcedure="false">#N/A</definedName>
    <definedName function="false" hidden="false" name="Slicer_Product_Category" vbProcedure="false">#N/A</definedName>
    <definedName function="false" hidden="false" name="Slicer_Purchase_History" vbProcedure="false">#N/A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<sst xmlns="http://schemas.openxmlformats.org/spreadsheetml/2006/main" count="431" uniqueCount="35">
  <si>
    <t xml:space="preserve">Customer ID</t>
  </si>
  <si>
    <t xml:space="preserve">Age</t>
  </si>
  <si>
    <t xml:space="preserve">Gender</t>
  </si>
  <si>
    <t xml:space="preserve">City</t>
  </si>
  <si>
    <t xml:space="preserve">Purchase History</t>
  </si>
  <si>
    <t xml:space="preserve">Product Category</t>
  </si>
  <si>
    <t xml:space="preserve">Female</t>
  </si>
  <si>
    <t xml:space="preserve">New York</t>
  </si>
  <si>
    <t xml:space="preserve">Electronics</t>
  </si>
  <si>
    <t xml:space="preserve">MEAN</t>
  </si>
  <si>
    <t xml:space="preserve">Male</t>
  </si>
  <si>
    <t xml:space="preserve">Los Angeles</t>
  </si>
  <si>
    <t xml:space="preserve">Clothing</t>
  </si>
  <si>
    <t xml:space="preserve">MEDIAN</t>
  </si>
  <si>
    <t xml:space="preserve">Chicago</t>
  </si>
  <si>
    <t xml:space="preserve">Home Decor</t>
  </si>
  <si>
    <t xml:space="preserve">MODE</t>
  </si>
  <si>
    <t xml:space="preserve">Houston</t>
  </si>
  <si>
    <t xml:space="preserve">San Francisco</t>
  </si>
  <si>
    <t xml:space="preserve">Miami</t>
  </si>
  <si>
    <t xml:space="preserve">Dallas</t>
  </si>
  <si>
    <t xml:space="preserve">Seattle</t>
  </si>
  <si>
    <t xml:space="preserve">Boston</t>
  </si>
  <si>
    <t xml:space="preserve">Atlanta</t>
  </si>
  <si>
    <t xml:space="preserve">Key</t>
  </si>
  <si>
    <t xml:space="preserve">Dropdownlist for product category</t>
  </si>
  <si>
    <t xml:space="preserve">% of sales</t>
  </si>
  <si>
    <t xml:space="preserve">Total</t>
  </si>
  <si>
    <t xml:space="preserve">Average Age</t>
  </si>
  <si>
    <t xml:space="preserve">Other Products</t>
  </si>
  <si>
    <t xml:space="preserve">Sum of Purchase History</t>
  </si>
  <si>
    <t xml:space="preserve">Total Result</t>
  </si>
  <si>
    <t xml:space="preserve">- all -</t>
  </si>
  <si>
    <t xml:space="preserve">Males have an overall higher purchasing history for the clothings and electronics category than female, but Female performing the highest purchase history in Home Décor than Male.</t>
  </si>
  <si>
    <t xml:space="preserve">In this table, we can see the aggregate purchase history for males and females in each product 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</si>
</sst>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8"/>
      <color rgb="FF1D2125"/>
      <name val="Segoe UI"/>
      <family val="2"/>
      <charset val="1"/>
    </font>
    <font>
      <sz val="8"/>
      <color rgb="FF1D2125"/>
      <name val="Segoe UI"/>
      <family val="2"/>
      <charset val="1"/>
    </font>
    <font>
      <b val="true"/>
      <sz val="11"/>
      <color rgb="FFFFC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8"/>
      <color rgb="FF404040"/>
      <name val="Aptos Narrow"/>
      <family val="2"/>
    </font>
    <font>
      <b val="true"/>
      <sz val="18"/>
      <color rgb="FF404040"/>
      <name val="Aptos Narrow"/>
      <family val="2"/>
    </font>
    <font>
      <b val="true"/>
      <sz val="10"/>
      <color rgb="FFFFFFFF"/>
      <name val="Aptos Narrow"/>
      <family val="2"/>
    </font>
    <font>
      <sz val="9"/>
      <color rgb="FF404040"/>
      <name val="Aptos Narrow"/>
      <family val="2"/>
    </font>
    <font>
      <b val="true"/>
      <sz val="14"/>
      <color rgb="FFC00000"/>
      <name val="Aptos Narrow"/>
      <family val="2"/>
    </font>
    <font>
      <sz val="9"/>
      <color rgb="FF595959"/>
      <name val="Aptos Narrow"/>
      <family val="2"/>
    </font>
    <font>
      <b val="true"/>
      <sz val="10"/>
      <color rgb="FF0F9ED5"/>
      <name val="Aptos Narrow"/>
      <family val="2"/>
    </font>
    <font>
      <sz val="11"/>
      <color rgb="FF000000"/>
      <name val="Times New Roman"/>
      <family val="0"/>
    </font>
    <font>
      <b val="true"/>
      <sz val="1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598DB"/>
        <bgColor rgb="FF4E95D9"/>
      </patternFill>
    </fill>
    <fill>
      <patternFill patternType="solid">
        <fgColor rgb="FFF8F9FA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theme="3" tint="0.4999"/>
        <bgColor rgb="FF3598DB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FF3598DB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1D212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8F9FA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64F2F2F2"/>
      <rgbColor rgb="FFCCFFCC"/>
      <rgbColor rgb="FFFFFF99"/>
      <rgbColor rgb="FF99CCFF"/>
      <rgbColor rgb="FFFF99CC"/>
      <rgbColor rgb="FFCC99FF"/>
      <rgbColor rgb="FFFFCC99"/>
      <rgbColor rgb="FF4E95D9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3598DB"/>
      <rgbColor rgb="FF003300"/>
      <rgbColor rgb="FF1D2125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</a:rPr>
              <a:t> </a:t>
            </a:r>
            <a:r>
              <a:rPr lang="en-US" sz="1800" b="1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</a:rPr>
              <a:t>sales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Lbls>
            <c:dLbl>
              <c:idx val="0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bg1"/>
                    </a:solidFill>
                    <a:uFillTx/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50000"/>
                      <a:lumOff val="50000"/>
                    </a:schemeClr>
                  </a:solidFill>
                </a:ln>
              </c:spPr>
            </c:leaderLines>
          </c:dLbls>
          <c:cat>
            <c:strRef>
              <c:f>'Dashboard '!$A$5:$A$6</c:f>
              <c:strCache>
                <c:ptCount val="2"/>
                <c:pt idx="0">
                  <c:v>Home Decor</c:v>
                </c:pt>
                <c:pt idx="1">
                  <c:v>Other Products</c:v>
                </c:pt>
              </c:strCache>
            </c:strRef>
          </c:cat>
          <c:val>
            <c:numRef>
              <c:f>'Dashboard '!$B$5:$B$6</c:f>
              <c:numCache>
                <c:formatCode>0%</c:formatCode>
                <c:ptCount val="2"/>
                <c:pt idx="0">
                  <c:v>0.2531788640859</c:v>
                </c:pt>
                <c:pt idx="1">
                  <c:v>0.7468211359141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75000"/>
                  <a:lumOff val="2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chemeClr val="dk1">
          <a:lumMod val="25000"/>
          <a:lumOff val="7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C00000"/>
                </a:solidFill>
                <a:uFillTx/>
                <a:latin typeface="Aptos Narrow"/>
              </a:rPr>
              <a:t>Sales Trends by Product Category</a:t>
            </a:r>
          </a:p>
        </c:rich>
      </c:tx>
      <c:layout>
        <c:manualLayout>
          <c:xMode val="edge"/>
          <c:yMode val="edge"/>
          <c:x val="0.279651893055805"/>
          <c:y val="0.115014694095645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Sum of Purchase History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Visualization!$A$4:$A$7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 Decor</c:v>
                </c:pt>
                <c:pt idx="3">
                  <c:v>Total Result</c:v>
                </c:pt>
              </c:strCache>
            </c:strRef>
          </c:cat>
          <c:val>
            <c:numRef>
              <c:f>Visualization!$B$4:$B$7</c:f>
              <c:numCache>
                <c:formatCode>General</c:formatCode>
                <c:ptCount val="4"/>
                <c:pt idx="0">
                  <c:v>21600</c:v>
                </c:pt>
                <c:pt idx="1">
                  <c:v>31260</c:v>
                </c:pt>
                <c:pt idx="2">
                  <c:v>17920</c:v>
                </c:pt>
                <c:pt idx="3">
                  <c:v>70780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879691"/>
        <c:axId val="81185286"/>
      </c:lineChart>
      <c:catAx>
        <c:axId val="25879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chemeClr val="accent4"/>
                    </a:solidFill>
                    <a:uFillTx/>
                    <a:latin typeface="Aptos Narrow"/>
                  </a:rPr>
                  <a:t>Product</a:t>
                </a:r>
                <a:r>
                  <a:rPr lang="en-US" sz="1000" b="1" u="none" strike="noStrike">
                    <a:solidFill>
                      <a:schemeClr val="accent4"/>
                    </a:solidFill>
                    <a:uFillTx/>
                    <a:latin typeface="Aptos Narrow"/>
                  </a:rPr>
                  <a:t>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1185286"/>
        <c:crosses val="autoZero"/>
        <c:auto val="1"/>
        <c:lblAlgn val="ctr"/>
        <c:lblOffset val="100"/>
        <c:noMultiLvlLbl val="0"/>
      </c:catAx>
      <c:valAx>
        <c:axId val="8118528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chemeClr val="accent4"/>
                    </a:solidFill>
                    <a:uFillTx/>
                    <a:latin typeface="Aptos Narrow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5879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</a:rPr>
              <a:t>Items purchased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Pivot_Analysis_2!$B$3</c:f>
              <c:strCache>
                <c:ptCount val="1"/>
                <c:pt idx="0">
                  <c:v>Sum of Purchase History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Lbls>
            <c:dLbl>
              <c:idx val="0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bg1"/>
                    </a:solidFill>
                    <a:uFillTx/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50000"/>
                      <a:lumOff val="50000"/>
                    </a:schemeClr>
                  </a:solidFill>
                </a:ln>
              </c:spPr>
            </c:leaderLines>
          </c:dLbls>
          <c:cat>
            <c:strRef>
              <c:f>Pivot_Analysis_2!$A$4:$A$6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Total Result</c:v>
                </c:pt>
              </c:strCache>
            </c:strRef>
          </c:cat>
          <c:val>
            <c:numRef>
              <c:f>Pivot_Analysis_2!$B$4:$B$6</c:f>
              <c:numCache>
                <c:formatCode>General</c:formatCode>
                <c:ptCount val="3"/>
                <c:pt idx="0">
                  <c:v>33150</c:v>
                </c:pt>
                <c:pt idx="1">
                  <c:v>37630</c:v>
                </c:pt>
                <c:pt idx="2">
                  <c:v>70780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75000"/>
                  <a:lumOff val="2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chemeClr val="dk1">
          <a:lumMod val="25000"/>
          <a:lumOff val="7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Pivot_Analysis_4!$B$3:$B$4</c:f>
              <c:strCache>
                <c:ptCount val="1"/>
                <c:pt idx="0">
                  <c:v>Gender Female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Pivot_Analysis_4!$A$5:$A$8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 Decor</c:v>
                </c:pt>
                <c:pt idx="3">
                  <c:v>Total Result</c:v>
                </c:pt>
              </c:strCache>
            </c:strRef>
          </c:cat>
          <c:val>
            <c:numRef>
              <c:f>Pivot_Analysis_4!$B$5:$B$8</c:f>
              <c:numCache>
                <c:formatCode>General</c:formatCode>
                <c:ptCount val="4"/>
                <c:pt idx="0">
                  <c:v>9950</c:v>
                </c:pt>
                <c:pt idx="1">
                  <c:v>5400</c:v>
                </c:pt>
                <c:pt idx="2">
                  <c:v>17800</c:v>
                </c:pt>
                <c:pt idx="3">
                  <c:v>33150</c:v>
                </c:pt>
              </c:numCache>
            </c:numRef>
          </c:val>
        </c:ser>
        <c:ser>
          <c:idx val="1"/>
          <c:order val="1"/>
          <c:tx>
            <c:strRef>
              <c:f>Pivot_Analysis_4!$C$3:$C$4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Pivot_Analysis_4!$A$5:$A$8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 Decor</c:v>
                </c:pt>
                <c:pt idx="3">
                  <c:v>Total Result</c:v>
                </c:pt>
              </c:strCache>
            </c:strRef>
          </c:cat>
          <c:val>
            <c:numRef>
              <c:f>Pivot_Analysis_4!$C$5:$C$8</c:f>
              <c:numCache>
                <c:formatCode>General</c:formatCode>
                <c:ptCount val="4"/>
                <c:pt idx="0">
                  <c:v>11650</c:v>
                </c:pt>
                <c:pt idx="1">
                  <c:v>25860</c:v>
                </c:pt>
                <c:pt idx="2">
                  <c:v>120</c:v>
                </c:pt>
                <c:pt idx="3">
                  <c:v>37630</c:v>
                </c:pt>
              </c:numCache>
            </c:numRef>
          </c:val>
        </c:ser>
        <c:gapWidth val="219"/>
        <c:overlap val="-27"/>
        <c:axId val="40006544"/>
        <c:axId val="52460460"/>
      </c:barChart>
      <c:catAx>
        <c:axId val="40006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2460460"/>
        <c:crosses val="autoZero"/>
        <c:auto val="1"/>
        <c:lblAlgn val="ctr"/>
        <c:lblOffset val="100"/>
        <c:noMultiLvlLbl val="0"/>
      </c:catAx>
      <c:valAx>
        <c:axId val="5246046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0006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75000"/>
        <a:lumOff val="2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75000"/>
        <a:lumOff val="2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339840</xdr:colOff>
      <xdr:row>0</xdr:row>
      <xdr:rowOff>165240</xdr:rowOff>
    </xdr:from>
    <xdr:to>
      <xdr:col>12</xdr:col>
      <xdr:colOff>34200</xdr:colOff>
      <xdr:row>15</xdr:row>
      <xdr:rowOff>126360</xdr:rowOff>
    </xdr:to>
    <xdr:graphicFrame>
      <xdr:nvGraphicFramePr>
        <xdr:cNvPr id="1" name="Chart 1"/>
        <xdr:cNvGraphicFramePr/>
      </xdr:nvGraphicFramePr>
      <xdr:xfrm>
        <a:off x="6002640" y="165240"/>
        <a:ext cx="4012560" cy="268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317520</xdr:colOff>
      <xdr:row>5</xdr:row>
      <xdr:rowOff>101520</xdr:rowOff>
    </xdr:from>
    <xdr:to>
      <xdr:col>10</xdr:col>
      <xdr:colOff>11880</xdr:colOff>
      <xdr:row>20</xdr:row>
      <xdr:rowOff>81720</xdr:rowOff>
    </xdr:to>
    <xdr:graphicFrame>
      <xdr:nvGraphicFramePr>
        <xdr:cNvPr id="2" name="Chart 1"/>
        <xdr:cNvGraphicFramePr/>
      </xdr:nvGraphicFramePr>
      <xdr:xfrm>
        <a:off x="2464560" y="1006560"/>
        <a:ext cx="4012200" cy="26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88920</xdr:colOff>
      <xdr:row>0</xdr:row>
      <xdr:rowOff>82440</xdr:rowOff>
    </xdr:from>
    <xdr:to>
      <xdr:col>7</xdr:col>
      <xdr:colOff>88200</xdr:colOff>
      <xdr:row>14</xdr:row>
      <xdr:rowOff>123120</xdr:rowOff>
    </xdr:to>
    <xdr:sp>
      <xdr:nvSpPr>
        <xdr:cNvPr id="3" name=""/>
        <xdr:cNvSpPr/>
      </xdr:nvSpPr>
      <xdr:spPr>
        <a:xfrm>
          <a:off x="3465360" y="82440"/>
          <a:ext cx="1618560" cy="25743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slicer. Slicers are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supported in Excel 2010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modified in an earlier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version of Excel, or if the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workbook was saved in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Excel 2003 or earlier, the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133200</xdr:colOff>
      <xdr:row>0</xdr:row>
      <xdr:rowOff>95400</xdr:rowOff>
    </xdr:from>
    <xdr:to>
      <xdr:col>10</xdr:col>
      <xdr:colOff>132480</xdr:colOff>
      <xdr:row>14</xdr:row>
      <xdr:rowOff>136080</xdr:rowOff>
    </xdr:to>
    <xdr:sp>
      <xdr:nvSpPr>
        <xdr:cNvPr id="4" name=""/>
        <xdr:cNvSpPr/>
      </xdr:nvSpPr>
      <xdr:spPr>
        <a:xfrm>
          <a:off x="5128920" y="95400"/>
          <a:ext cx="1618200" cy="25743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slicer. Slicers are supported in Excel 2010 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modified in an earlier version of Excel, or if the workbook was saved in Excel 2003 or earlier, the 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298440</xdr:colOff>
      <xdr:row>0</xdr:row>
      <xdr:rowOff>57240</xdr:rowOff>
    </xdr:from>
    <xdr:to>
      <xdr:col>13</xdr:col>
      <xdr:colOff>297720</xdr:colOff>
      <xdr:row>14</xdr:row>
      <xdr:rowOff>97920</xdr:rowOff>
    </xdr:to>
    <xdr:sp>
      <xdr:nvSpPr>
        <xdr:cNvPr id="5" name=""/>
        <xdr:cNvSpPr/>
      </xdr:nvSpPr>
      <xdr:spPr>
        <a:xfrm>
          <a:off x="6913080" y="57240"/>
          <a:ext cx="1618560" cy="25743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slicer. Slicers are supported in Excel 2010 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modified in an earlier version of Excel, or if the workbook was saved in Excel 2003 or earlier, the 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343080</xdr:colOff>
      <xdr:row>0</xdr:row>
      <xdr:rowOff>57240</xdr:rowOff>
    </xdr:from>
    <xdr:to>
      <xdr:col>16</xdr:col>
      <xdr:colOff>342360</xdr:colOff>
      <xdr:row>14</xdr:row>
      <xdr:rowOff>97920</xdr:rowOff>
    </xdr:to>
    <xdr:sp>
      <xdr:nvSpPr>
        <xdr:cNvPr id="6" name=""/>
        <xdr:cNvSpPr/>
      </xdr:nvSpPr>
      <xdr:spPr>
        <a:xfrm>
          <a:off x="8577000" y="57240"/>
          <a:ext cx="1618560" cy="25743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slicer. Slicers are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supported in Excel 2010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modified in an earlier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version of Excel, or if the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workbook was saved in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Excel 2003 or earlier, the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368280</xdr:colOff>
      <xdr:row>3</xdr:row>
      <xdr:rowOff>101520</xdr:rowOff>
    </xdr:from>
    <xdr:to>
      <xdr:col>10</xdr:col>
      <xdr:colOff>62640</xdr:colOff>
      <xdr:row>18</xdr:row>
      <xdr:rowOff>81720</xdr:rowOff>
    </xdr:to>
    <xdr:graphicFrame>
      <xdr:nvGraphicFramePr>
        <xdr:cNvPr id="7" name="Chart 1"/>
        <xdr:cNvGraphicFramePr/>
      </xdr:nvGraphicFramePr>
      <xdr:xfrm>
        <a:off x="2515320" y="644400"/>
        <a:ext cx="401220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422280</xdr:colOff>
      <xdr:row>1</xdr:row>
      <xdr:rowOff>50760</xdr:rowOff>
    </xdr:from>
    <xdr:to>
      <xdr:col>13</xdr:col>
      <xdr:colOff>116640</xdr:colOff>
      <xdr:row>16</xdr:row>
      <xdr:rowOff>30960</xdr:rowOff>
    </xdr:to>
    <xdr:graphicFrame>
      <xdr:nvGraphicFramePr>
        <xdr:cNvPr id="8" name="Chart 2"/>
        <xdr:cNvGraphicFramePr/>
      </xdr:nvGraphicFramePr>
      <xdr:xfrm>
        <a:off x="4338360" y="231840"/>
        <a:ext cx="4012200" cy="367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0" createdVersion="3">
  <cacheSource type="worksheet">
    <worksheetSource ref="A1:F61" sheet="Data"/>
  </cacheSource>
  <cacheFields count="6">
    <cacheField name="Customer ID" numFmtId="0">
      <sharedItems containsSemiMixedTypes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" numFmtId="0">
      <sharedItems containsSemiMixedTypes="0" containsString="0" containsNumber="1" containsInteger="1" minValue="18" maxValue="57" count="38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3"/>
        <n v="54"/>
        <n v="55"/>
        <n v="56"/>
        <n v="57"/>
      </sharedItems>
    </cacheField>
    <cacheField name="Gender" numFmtId="0">
      <sharedItems count="2">
        <s v="Female"/>
        <s v="Male"/>
      </sharedItems>
    </cacheField>
    <cacheField name="City" numFmtId="0">
      <sharedItems count="10">
        <s v="Atlanta"/>
        <s v="Boston"/>
        <s v="Chicago"/>
        <s v="Dallas"/>
        <s v="Houston"/>
        <s v="Los Angeles"/>
        <s v="Miami"/>
        <s v="New York"/>
        <s v="San Francisco"/>
        <s v="Seattle"/>
      </sharedItems>
    </cacheField>
    <cacheField name="Purchase History" numFmtId="0">
      <sharedItems containsSemiMixedTypes="0" containsString="0" containsNumber="1" containsInteger="1" minValue="80" maxValue="3500" count="42">
        <n v="80"/>
        <n v="100"/>
        <n v="120"/>
        <n v="150"/>
        <n v="180"/>
        <n v="200"/>
        <n v="250"/>
        <n v="280"/>
        <n v="300"/>
        <n v="320"/>
        <n v="350"/>
        <n v="400"/>
        <n v="500"/>
        <n v="600"/>
        <n v="650"/>
        <n v="700"/>
        <n v="750"/>
        <n v="800"/>
        <n v="850"/>
        <n v="900"/>
        <n v="950"/>
        <n v="1000"/>
        <n v="1100"/>
        <n v="1200"/>
        <n v="1250"/>
        <n v="1300"/>
        <n v="1400"/>
        <n v="1500"/>
        <n v="1600"/>
        <n v="1700"/>
        <n v="1800"/>
        <n v="1900"/>
        <n v="2000"/>
        <n v="2100"/>
        <n v="2200"/>
        <n v="2300"/>
        <n v="2500"/>
        <n v="2700"/>
        <n v="2800"/>
        <n v="3000"/>
        <n v="3200"/>
        <n v="3500"/>
      </sharedItems>
    </cacheField>
    <cacheField name="Product Category" numFmtId="0">
      <sharedItems count="3">
        <s v="Clothing"/>
        <s v="Electronics"/>
        <s v="Home Deco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10"/>
    <x v="0"/>
    <x v="7"/>
    <x v="27"/>
    <x v="1"/>
  </r>
  <r>
    <x v="1"/>
    <x v="17"/>
    <x v="1"/>
    <x v="5"/>
    <x v="32"/>
    <x v="0"/>
  </r>
  <r>
    <x v="2"/>
    <x v="24"/>
    <x v="0"/>
    <x v="2"/>
    <x v="12"/>
    <x v="2"/>
  </r>
  <r>
    <x v="3"/>
    <x v="1"/>
    <x v="1"/>
    <x v="4"/>
    <x v="1"/>
    <x v="1"/>
  </r>
  <r>
    <x v="4"/>
    <x v="36"/>
    <x v="1"/>
    <x v="8"/>
    <x v="39"/>
    <x v="1"/>
  </r>
  <r>
    <x v="5"/>
    <x v="23"/>
    <x v="0"/>
    <x v="6"/>
    <x v="23"/>
    <x v="0"/>
  </r>
  <r>
    <x v="6"/>
    <x v="15"/>
    <x v="1"/>
    <x v="3"/>
    <x v="17"/>
    <x v="1"/>
  </r>
  <r>
    <x v="7"/>
    <x v="6"/>
    <x v="0"/>
    <x v="9"/>
    <x v="6"/>
    <x v="2"/>
  </r>
  <r>
    <x v="8"/>
    <x v="11"/>
    <x v="1"/>
    <x v="1"/>
    <x v="15"/>
    <x v="0"/>
  </r>
  <r>
    <x v="9"/>
    <x v="27"/>
    <x v="0"/>
    <x v="0"/>
    <x v="30"/>
    <x v="2"/>
  </r>
  <r>
    <x v="10"/>
    <x v="13"/>
    <x v="0"/>
    <x v="7"/>
    <x v="19"/>
    <x v="1"/>
  </r>
  <r>
    <x v="11"/>
    <x v="21"/>
    <x v="1"/>
    <x v="5"/>
    <x v="27"/>
    <x v="0"/>
  </r>
  <r>
    <x v="12"/>
    <x v="19"/>
    <x v="0"/>
    <x v="2"/>
    <x v="13"/>
    <x v="2"/>
  </r>
  <r>
    <x v="13"/>
    <x v="4"/>
    <x v="1"/>
    <x v="4"/>
    <x v="5"/>
    <x v="1"/>
  </r>
  <r>
    <x v="14"/>
    <x v="26"/>
    <x v="1"/>
    <x v="8"/>
    <x v="36"/>
    <x v="1"/>
  </r>
  <r>
    <x v="15"/>
    <x v="9"/>
    <x v="0"/>
    <x v="6"/>
    <x v="22"/>
    <x v="0"/>
  </r>
  <r>
    <x v="16"/>
    <x v="12"/>
    <x v="1"/>
    <x v="3"/>
    <x v="23"/>
    <x v="1"/>
  </r>
  <r>
    <x v="17"/>
    <x v="8"/>
    <x v="0"/>
    <x v="9"/>
    <x v="10"/>
    <x v="2"/>
  </r>
  <r>
    <x v="18"/>
    <x v="16"/>
    <x v="1"/>
    <x v="1"/>
    <x v="17"/>
    <x v="0"/>
  </r>
  <r>
    <x v="19"/>
    <x v="30"/>
    <x v="0"/>
    <x v="0"/>
    <x v="32"/>
    <x v="2"/>
  </r>
  <r>
    <x v="20"/>
    <x v="21"/>
    <x v="1"/>
    <x v="7"/>
    <x v="17"/>
    <x v="1"/>
  </r>
  <r>
    <x v="21"/>
    <x v="10"/>
    <x v="0"/>
    <x v="5"/>
    <x v="23"/>
    <x v="0"/>
  </r>
  <r>
    <x v="22"/>
    <x v="25"/>
    <x v="0"/>
    <x v="2"/>
    <x v="15"/>
    <x v="2"/>
  </r>
  <r>
    <x v="23"/>
    <x v="3"/>
    <x v="1"/>
    <x v="4"/>
    <x v="3"/>
    <x v="1"/>
  </r>
  <r>
    <x v="24"/>
    <x v="35"/>
    <x v="1"/>
    <x v="8"/>
    <x v="38"/>
    <x v="1"/>
  </r>
  <r>
    <x v="25"/>
    <x v="22"/>
    <x v="0"/>
    <x v="6"/>
    <x v="25"/>
    <x v="0"/>
  </r>
  <r>
    <x v="26"/>
    <x v="14"/>
    <x v="1"/>
    <x v="3"/>
    <x v="19"/>
    <x v="1"/>
  </r>
  <r>
    <x v="27"/>
    <x v="5"/>
    <x v="0"/>
    <x v="9"/>
    <x v="8"/>
    <x v="2"/>
  </r>
  <r>
    <x v="28"/>
    <x v="9"/>
    <x v="1"/>
    <x v="1"/>
    <x v="13"/>
    <x v="0"/>
  </r>
  <r>
    <x v="29"/>
    <x v="28"/>
    <x v="0"/>
    <x v="0"/>
    <x v="29"/>
    <x v="2"/>
  </r>
  <r>
    <x v="30"/>
    <x v="18"/>
    <x v="0"/>
    <x v="7"/>
    <x v="26"/>
    <x v="1"/>
  </r>
  <r>
    <x v="31"/>
    <x v="20"/>
    <x v="1"/>
    <x v="5"/>
    <x v="30"/>
    <x v="0"/>
  </r>
  <r>
    <x v="32"/>
    <x v="23"/>
    <x v="0"/>
    <x v="2"/>
    <x v="19"/>
    <x v="2"/>
  </r>
  <r>
    <x v="33"/>
    <x v="2"/>
    <x v="1"/>
    <x v="4"/>
    <x v="2"/>
    <x v="2"/>
  </r>
  <r>
    <x v="34"/>
    <x v="37"/>
    <x v="1"/>
    <x v="8"/>
    <x v="40"/>
    <x v="1"/>
  </r>
  <r>
    <x v="35"/>
    <x v="25"/>
    <x v="0"/>
    <x v="6"/>
    <x v="26"/>
    <x v="0"/>
  </r>
  <r>
    <x v="36"/>
    <x v="16"/>
    <x v="1"/>
    <x v="3"/>
    <x v="21"/>
    <x v="1"/>
  </r>
  <r>
    <x v="37"/>
    <x v="7"/>
    <x v="0"/>
    <x v="9"/>
    <x v="11"/>
    <x v="2"/>
  </r>
  <r>
    <x v="38"/>
    <x v="15"/>
    <x v="1"/>
    <x v="1"/>
    <x v="16"/>
    <x v="0"/>
  </r>
  <r>
    <x v="39"/>
    <x v="29"/>
    <x v="0"/>
    <x v="0"/>
    <x v="31"/>
    <x v="2"/>
  </r>
  <r>
    <x v="40"/>
    <x v="12"/>
    <x v="1"/>
    <x v="7"/>
    <x v="20"/>
    <x v="1"/>
  </r>
  <r>
    <x v="41"/>
    <x v="11"/>
    <x v="0"/>
    <x v="5"/>
    <x v="22"/>
    <x v="0"/>
  </r>
  <r>
    <x v="42"/>
    <x v="26"/>
    <x v="0"/>
    <x v="2"/>
    <x v="14"/>
    <x v="2"/>
  </r>
  <r>
    <x v="43"/>
    <x v="5"/>
    <x v="1"/>
    <x v="4"/>
    <x v="4"/>
    <x v="1"/>
  </r>
  <r>
    <x v="44"/>
    <x v="34"/>
    <x v="1"/>
    <x v="8"/>
    <x v="37"/>
    <x v="1"/>
  </r>
  <r>
    <x v="45"/>
    <x v="24"/>
    <x v="0"/>
    <x v="6"/>
    <x v="24"/>
    <x v="0"/>
  </r>
  <r>
    <x v="46"/>
    <x v="13"/>
    <x v="1"/>
    <x v="3"/>
    <x v="18"/>
    <x v="1"/>
  </r>
  <r>
    <x v="47"/>
    <x v="4"/>
    <x v="0"/>
    <x v="9"/>
    <x v="9"/>
    <x v="2"/>
  </r>
  <r>
    <x v="48"/>
    <x v="10"/>
    <x v="1"/>
    <x v="1"/>
    <x v="14"/>
    <x v="0"/>
  </r>
  <r>
    <x v="49"/>
    <x v="31"/>
    <x v="0"/>
    <x v="0"/>
    <x v="33"/>
    <x v="2"/>
  </r>
  <r>
    <x v="50"/>
    <x v="17"/>
    <x v="0"/>
    <x v="7"/>
    <x v="28"/>
    <x v="1"/>
  </r>
  <r>
    <x v="51"/>
    <x v="19"/>
    <x v="1"/>
    <x v="5"/>
    <x v="34"/>
    <x v="0"/>
  </r>
  <r>
    <x v="52"/>
    <x v="22"/>
    <x v="0"/>
    <x v="2"/>
    <x v="16"/>
    <x v="2"/>
  </r>
  <r>
    <x v="53"/>
    <x v="0"/>
    <x v="1"/>
    <x v="4"/>
    <x v="0"/>
    <x v="1"/>
  </r>
  <r>
    <x v="54"/>
    <x v="33"/>
    <x v="1"/>
    <x v="8"/>
    <x v="41"/>
    <x v="1"/>
  </r>
  <r>
    <x v="55"/>
    <x v="21"/>
    <x v="0"/>
    <x v="6"/>
    <x v="26"/>
    <x v="0"/>
  </r>
  <r>
    <x v="56"/>
    <x v="14"/>
    <x v="1"/>
    <x v="3"/>
    <x v="20"/>
    <x v="1"/>
  </r>
  <r>
    <x v="57"/>
    <x v="6"/>
    <x v="0"/>
    <x v="9"/>
    <x v="7"/>
    <x v="2"/>
  </r>
  <r>
    <x v="58"/>
    <x v="13"/>
    <x v="1"/>
    <x v="1"/>
    <x v="14"/>
    <x v="0"/>
  </r>
  <r>
    <x v="59"/>
    <x v="32"/>
    <x v="0"/>
    <x v="0"/>
    <x v="35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 History" fld="4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8" firstHeaderRow="1" firstDataRow="2" firstDataCol="1" rowPageCount="1" colPageCount="1"/>
  <pivotFields count="6"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Purchase History" fld="4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urchase History" fld="4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8" firstHeaderRow="1" firstDataRow="2" firstDataCol="1"/>
  <pivotFields count="6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 History" fld="4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8" firstHeaderRow="1" firstDataRow="2" firstDataCol="1"/>
  <pivotFields count="6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 History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11.91"/>
    <col collapsed="false" customWidth="true" hidden="false" outlineLevel="0" max="2" min="2" style="1" width="10.82"/>
    <col collapsed="false" customWidth="true" hidden="false" outlineLevel="0" max="4" min="4" style="1" width="10.27"/>
    <col collapsed="false" customWidth="true" hidden="false" outlineLevel="0" max="5" min="5" style="1" width="15.09"/>
    <col collapsed="false" customWidth="true" hidden="false" outlineLevel="0" max="6" min="6" style="1" width="16.6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4.25" hidden="false" customHeight="false" outlineLevel="0" collapsed="false">
      <c r="A2" s="5" t="n">
        <v>1</v>
      </c>
      <c r="B2" s="6" t="n">
        <v>28</v>
      </c>
      <c r="C2" s="6" t="s">
        <v>6</v>
      </c>
      <c r="D2" s="6" t="s">
        <v>7</v>
      </c>
      <c r="E2" s="6" t="n">
        <v>1500</v>
      </c>
      <c r="F2" s="7" t="s">
        <v>8</v>
      </c>
      <c r="I2" s="8" t="s">
        <v>9</v>
      </c>
      <c r="J2" s="9" t="n">
        <f aca="false">AVERAGE(E2:E61)</f>
        <v>1179.66666666667</v>
      </c>
    </row>
    <row r="3" customFormat="false" ht="14.25" hidden="false" customHeight="false" outlineLevel="0" collapsed="false">
      <c r="A3" s="5" t="n">
        <v>2</v>
      </c>
      <c r="B3" s="6" t="n">
        <v>35</v>
      </c>
      <c r="C3" s="6" t="s">
        <v>10</v>
      </c>
      <c r="D3" s="6" t="s">
        <v>11</v>
      </c>
      <c r="E3" s="6" t="n">
        <v>2000</v>
      </c>
      <c r="F3" s="7" t="s">
        <v>12</v>
      </c>
      <c r="I3" s="8" t="s">
        <v>13</v>
      </c>
      <c r="J3" s="9" t="n">
        <f aca="false">MEDIAN(E2:E61)</f>
        <v>950</v>
      </c>
    </row>
    <row r="4" customFormat="false" ht="14.25" hidden="false" customHeight="false" outlineLevel="0" collapsed="false">
      <c r="A4" s="5" t="n">
        <v>3</v>
      </c>
      <c r="B4" s="6" t="n">
        <v>42</v>
      </c>
      <c r="C4" s="6" t="s">
        <v>6</v>
      </c>
      <c r="D4" s="6" t="s">
        <v>14</v>
      </c>
      <c r="E4" s="6" t="n">
        <v>500</v>
      </c>
      <c r="F4" s="7" t="s">
        <v>15</v>
      </c>
      <c r="I4" s="8" t="s">
        <v>16</v>
      </c>
      <c r="J4" s="9" t="n">
        <f aca="false">MODE(E2:E61)</f>
        <v>650</v>
      </c>
    </row>
    <row r="5" customFormat="false" ht="14.25" hidden="false" customHeight="false" outlineLevel="0" collapsed="false">
      <c r="A5" s="5" t="n">
        <v>4</v>
      </c>
      <c r="B5" s="6" t="n">
        <v>19</v>
      </c>
      <c r="C5" s="6" t="s">
        <v>10</v>
      </c>
      <c r="D5" s="6" t="s">
        <v>17</v>
      </c>
      <c r="E5" s="6" t="n">
        <v>100</v>
      </c>
      <c r="F5" s="7" t="s">
        <v>8</v>
      </c>
    </row>
    <row r="6" customFormat="false" ht="14.25" hidden="false" customHeight="false" outlineLevel="0" collapsed="false">
      <c r="A6" s="5" t="n">
        <v>5</v>
      </c>
      <c r="B6" s="6" t="n">
        <v>56</v>
      </c>
      <c r="C6" s="6" t="s">
        <v>10</v>
      </c>
      <c r="D6" s="6" t="s">
        <v>18</v>
      </c>
      <c r="E6" s="6" t="n">
        <v>3000</v>
      </c>
      <c r="F6" s="7" t="s">
        <v>8</v>
      </c>
    </row>
    <row r="7" customFormat="false" ht="14.25" hidden="false" customHeight="false" outlineLevel="0" collapsed="false">
      <c r="A7" s="5" t="n">
        <v>6</v>
      </c>
      <c r="B7" s="6" t="n">
        <v>41</v>
      </c>
      <c r="C7" s="6" t="s">
        <v>6</v>
      </c>
      <c r="D7" s="6" t="s">
        <v>19</v>
      </c>
      <c r="E7" s="6" t="n">
        <v>1200</v>
      </c>
      <c r="F7" s="7" t="s">
        <v>12</v>
      </c>
    </row>
    <row r="8" customFormat="false" ht="14.25" hidden="false" customHeight="false" outlineLevel="0" collapsed="false">
      <c r="A8" s="5" t="n">
        <v>7</v>
      </c>
      <c r="B8" s="6" t="n">
        <v>33</v>
      </c>
      <c r="C8" s="6" t="s">
        <v>10</v>
      </c>
      <c r="D8" s="6" t="s">
        <v>20</v>
      </c>
      <c r="E8" s="6" t="n">
        <v>800</v>
      </c>
      <c r="F8" s="7" t="s">
        <v>8</v>
      </c>
    </row>
    <row r="9" customFormat="false" ht="14.25" hidden="false" customHeight="false" outlineLevel="0" collapsed="false">
      <c r="A9" s="5" t="n">
        <v>8</v>
      </c>
      <c r="B9" s="6" t="n">
        <v>24</v>
      </c>
      <c r="C9" s="6" t="s">
        <v>6</v>
      </c>
      <c r="D9" s="6" t="s">
        <v>21</v>
      </c>
      <c r="E9" s="6" t="n">
        <v>250</v>
      </c>
      <c r="F9" s="7" t="s">
        <v>15</v>
      </c>
    </row>
    <row r="10" customFormat="false" ht="14.25" hidden="false" customHeight="false" outlineLevel="0" collapsed="false">
      <c r="A10" s="5" t="n">
        <v>9</v>
      </c>
      <c r="B10" s="6" t="n">
        <v>29</v>
      </c>
      <c r="C10" s="6" t="s">
        <v>10</v>
      </c>
      <c r="D10" s="6" t="s">
        <v>22</v>
      </c>
      <c r="E10" s="6" t="n">
        <v>700</v>
      </c>
      <c r="F10" s="7" t="s">
        <v>12</v>
      </c>
    </row>
    <row r="11" customFormat="false" ht="14.25" hidden="false" customHeight="false" outlineLevel="0" collapsed="false">
      <c r="A11" s="5" t="n">
        <v>10</v>
      </c>
      <c r="B11" s="6" t="n">
        <v>45</v>
      </c>
      <c r="C11" s="6" t="s">
        <v>6</v>
      </c>
      <c r="D11" s="6" t="s">
        <v>23</v>
      </c>
      <c r="E11" s="6" t="n">
        <v>1800</v>
      </c>
      <c r="F11" s="7" t="s">
        <v>15</v>
      </c>
    </row>
    <row r="12" customFormat="false" ht="14.25" hidden="false" customHeight="false" outlineLevel="0" collapsed="false">
      <c r="A12" s="5" t="n">
        <v>11</v>
      </c>
      <c r="B12" s="6" t="n">
        <v>31</v>
      </c>
      <c r="C12" s="6" t="s">
        <v>6</v>
      </c>
      <c r="D12" s="6" t="s">
        <v>7</v>
      </c>
      <c r="E12" s="6" t="n">
        <v>900</v>
      </c>
      <c r="F12" s="7" t="s">
        <v>8</v>
      </c>
    </row>
    <row r="13" customFormat="false" ht="14.25" hidden="false" customHeight="false" outlineLevel="0" collapsed="false">
      <c r="A13" s="5" t="n">
        <v>12</v>
      </c>
      <c r="B13" s="6" t="n">
        <v>39</v>
      </c>
      <c r="C13" s="6" t="s">
        <v>10</v>
      </c>
      <c r="D13" s="6" t="s">
        <v>11</v>
      </c>
      <c r="E13" s="6" t="n">
        <v>1500</v>
      </c>
      <c r="F13" s="7" t="s">
        <v>12</v>
      </c>
    </row>
    <row r="14" customFormat="false" ht="14.25" hidden="false" customHeight="false" outlineLevel="0" collapsed="false">
      <c r="A14" s="5" t="n">
        <v>13</v>
      </c>
      <c r="B14" s="6" t="n">
        <v>37</v>
      </c>
      <c r="C14" s="6" t="s">
        <v>6</v>
      </c>
      <c r="D14" s="6" t="s">
        <v>14</v>
      </c>
      <c r="E14" s="6" t="n">
        <v>600</v>
      </c>
      <c r="F14" s="7" t="s">
        <v>15</v>
      </c>
    </row>
    <row r="15" customFormat="false" ht="14.25" hidden="false" customHeight="false" outlineLevel="0" collapsed="false">
      <c r="A15" s="5" t="n">
        <v>14</v>
      </c>
      <c r="B15" s="6" t="n">
        <v>22</v>
      </c>
      <c r="C15" s="6" t="s">
        <v>10</v>
      </c>
      <c r="D15" s="6" t="s">
        <v>17</v>
      </c>
      <c r="E15" s="6" t="n">
        <v>200</v>
      </c>
      <c r="F15" s="7" t="s">
        <v>8</v>
      </c>
    </row>
    <row r="16" customFormat="false" ht="14.25" hidden="false" customHeight="false" outlineLevel="0" collapsed="false">
      <c r="A16" s="5" t="n">
        <v>15</v>
      </c>
      <c r="B16" s="6" t="n">
        <v>44</v>
      </c>
      <c r="C16" s="6" t="s">
        <v>10</v>
      </c>
      <c r="D16" s="6" t="s">
        <v>18</v>
      </c>
      <c r="E16" s="6" t="n">
        <v>2500</v>
      </c>
      <c r="F16" s="7" t="s">
        <v>8</v>
      </c>
    </row>
    <row r="17" customFormat="false" ht="14.25" hidden="false" customHeight="false" outlineLevel="0" collapsed="false">
      <c r="A17" s="5" t="n">
        <v>16</v>
      </c>
      <c r="B17" s="6" t="n">
        <v>27</v>
      </c>
      <c r="C17" s="6" t="s">
        <v>6</v>
      </c>
      <c r="D17" s="6" t="s">
        <v>19</v>
      </c>
      <c r="E17" s="6" t="n">
        <v>1100</v>
      </c>
      <c r="F17" s="7" t="s">
        <v>12</v>
      </c>
    </row>
    <row r="18" customFormat="false" ht="14.25" hidden="false" customHeight="false" outlineLevel="0" collapsed="false">
      <c r="A18" s="5" t="n">
        <v>17</v>
      </c>
      <c r="B18" s="6" t="n">
        <v>30</v>
      </c>
      <c r="C18" s="6" t="s">
        <v>10</v>
      </c>
      <c r="D18" s="6" t="s">
        <v>20</v>
      </c>
      <c r="E18" s="6" t="n">
        <v>1200</v>
      </c>
      <c r="F18" s="7" t="s">
        <v>8</v>
      </c>
    </row>
    <row r="19" customFormat="false" ht="14.25" hidden="false" customHeight="false" outlineLevel="0" collapsed="false">
      <c r="A19" s="5" t="n">
        <v>18</v>
      </c>
      <c r="B19" s="6" t="n">
        <v>26</v>
      </c>
      <c r="C19" s="6" t="s">
        <v>6</v>
      </c>
      <c r="D19" s="6" t="s">
        <v>21</v>
      </c>
      <c r="E19" s="6" t="n">
        <v>350</v>
      </c>
      <c r="F19" s="7" t="s">
        <v>15</v>
      </c>
    </row>
    <row r="20" customFormat="false" ht="14.25" hidden="false" customHeight="false" outlineLevel="0" collapsed="false">
      <c r="A20" s="5" t="n">
        <v>19</v>
      </c>
      <c r="B20" s="6" t="n">
        <v>34</v>
      </c>
      <c r="C20" s="6" t="s">
        <v>10</v>
      </c>
      <c r="D20" s="6" t="s">
        <v>22</v>
      </c>
      <c r="E20" s="6" t="n">
        <v>800</v>
      </c>
      <c r="F20" s="7" t="s">
        <v>12</v>
      </c>
    </row>
    <row r="21" customFormat="false" ht="14.25" hidden="false" customHeight="false" outlineLevel="0" collapsed="false">
      <c r="A21" s="5" t="n">
        <v>20</v>
      </c>
      <c r="B21" s="6" t="n">
        <v>48</v>
      </c>
      <c r="C21" s="6" t="s">
        <v>6</v>
      </c>
      <c r="D21" s="6" t="s">
        <v>23</v>
      </c>
      <c r="E21" s="6" t="n">
        <v>2000</v>
      </c>
      <c r="F21" s="7" t="s">
        <v>15</v>
      </c>
    </row>
    <row r="22" customFormat="false" ht="14.25" hidden="false" customHeight="false" outlineLevel="0" collapsed="false">
      <c r="A22" s="5" t="n">
        <v>21</v>
      </c>
      <c r="B22" s="6" t="n">
        <v>39</v>
      </c>
      <c r="C22" s="6" t="s">
        <v>10</v>
      </c>
      <c r="D22" s="6" t="s">
        <v>7</v>
      </c>
      <c r="E22" s="6" t="n">
        <v>800</v>
      </c>
      <c r="F22" s="7" t="s">
        <v>8</v>
      </c>
    </row>
    <row r="23" customFormat="false" ht="14.25" hidden="false" customHeight="false" outlineLevel="0" collapsed="false">
      <c r="A23" s="5" t="n">
        <v>22</v>
      </c>
      <c r="B23" s="6" t="n">
        <v>28</v>
      </c>
      <c r="C23" s="6" t="s">
        <v>6</v>
      </c>
      <c r="D23" s="6" t="s">
        <v>11</v>
      </c>
      <c r="E23" s="6" t="n">
        <v>1200</v>
      </c>
      <c r="F23" s="7" t="s">
        <v>12</v>
      </c>
    </row>
    <row r="24" customFormat="false" ht="14.25" hidden="false" customHeight="false" outlineLevel="0" collapsed="false">
      <c r="A24" s="5" t="n">
        <v>23</v>
      </c>
      <c r="B24" s="6" t="n">
        <v>43</v>
      </c>
      <c r="C24" s="6" t="s">
        <v>6</v>
      </c>
      <c r="D24" s="6" t="s">
        <v>14</v>
      </c>
      <c r="E24" s="6" t="n">
        <v>700</v>
      </c>
      <c r="F24" s="7" t="s">
        <v>15</v>
      </c>
    </row>
    <row r="25" customFormat="false" ht="14.25" hidden="false" customHeight="false" outlineLevel="0" collapsed="false">
      <c r="A25" s="5" t="n">
        <v>24</v>
      </c>
      <c r="B25" s="6" t="n">
        <v>21</v>
      </c>
      <c r="C25" s="6" t="s">
        <v>10</v>
      </c>
      <c r="D25" s="6" t="s">
        <v>17</v>
      </c>
      <c r="E25" s="6" t="n">
        <v>150</v>
      </c>
      <c r="F25" s="7" t="s">
        <v>8</v>
      </c>
    </row>
    <row r="26" customFormat="false" ht="14.25" hidden="false" customHeight="false" outlineLevel="0" collapsed="false">
      <c r="A26" s="5" t="n">
        <v>25</v>
      </c>
      <c r="B26" s="6" t="n">
        <v>55</v>
      </c>
      <c r="C26" s="6" t="s">
        <v>10</v>
      </c>
      <c r="D26" s="6" t="s">
        <v>18</v>
      </c>
      <c r="E26" s="6" t="n">
        <v>2800</v>
      </c>
      <c r="F26" s="7" t="s">
        <v>8</v>
      </c>
    </row>
    <row r="27" customFormat="false" ht="14.25" hidden="false" customHeight="false" outlineLevel="0" collapsed="false">
      <c r="A27" s="5" t="n">
        <v>26</v>
      </c>
      <c r="B27" s="6" t="n">
        <v>40</v>
      </c>
      <c r="C27" s="6" t="s">
        <v>6</v>
      </c>
      <c r="D27" s="6" t="s">
        <v>19</v>
      </c>
      <c r="E27" s="6" t="n">
        <v>1300</v>
      </c>
      <c r="F27" s="7" t="s">
        <v>12</v>
      </c>
    </row>
    <row r="28" customFormat="false" ht="14.25" hidden="false" customHeight="false" outlineLevel="0" collapsed="false">
      <c r="A28" s="5" t="n">
        <v>27</v>
      </c>
      <c r="B28" s="6" t="n">
        <v>32</v>
      </c>
      <c r="C28" s="6" t="s">
        <v>10</v>
      </c>
      <c r="D28" s="6" t="s">
        <v>20</v>
      </c>
      <c r="E28" s="6" t="n">
        <v>900</v>
      </c>
      <c r="F28" s="7" t="s">
        <v>8</v>
      </c>
    </row>
    <row r="29" customFormat="false" ht="14.25" hidden="false" customHeight="false" outlineLevel="0" collapsed="false">
      <c r="A29" s="5" t="n">
        <v>28</v>
      </c>
      <c r="B29" s="6" t="n">
        <v>23</v>
      </c>
      <c r="C29" s="6" t="s">
        <v>6</v>
      </c>
      <c r="D29" s="6" t="s">
        <v>21</v>
      </c>
      <c r="E29" s="6" t="n">
        <v>300</v>
      </c>
      <c r="F29" s="7" t="s">
        <v>15</v>
      </c>
    </row>
    <row r="30" customFormat="false" ht="14.25" hidden="false" customHeight="false" outlineLevel="0" collapsed="false">
      <c r="A30" s="5" t="n">
        <v>29</v>
      </c>
      <c r="B30" s="6" t="n">
        <v>27</v>
      </c>
      <c r="C30" s="6" t="s">
        <v>10</v>
      </c>
      <c r="D30" s="6" t="s">
        <v>22</v>
      </c>
      <c r="E30" s="6" t="n">
        <v>600</v>
      </c>
      <c r="F30" s="7" t="s">
        <v>12</v>
      </c>
    </row>
    <row r="31" customFormat="false" ht="14.25" hidden="false" customHeight="false" outlineLevel="0" collapsed="false">
      <c r="A31" s="5" t="n">
        <v>30</v>
      </c>
      <c r="B31" s="6" t="n">
        <v>46</v>
      </c>
      <c r="C31" s="6" t="s">
        <v>6</v>
      </c>
      <c r="D31" s="6" t="s">
        <v>23</v>
      </c>
      <c r="E31" s="6" t="n">
        <v>1700</v>
      </c>
      <c r="F31" s="7" t="s">
        <v>15</v>
      </c>
    </row>
    <row r="32" customFormat="false" ht="14.25" hidden="false" customHeight="false" outlineLevel="0" collapsed="false">
      <c r="A32" s="5" t="n">
        <v>31</v>
      </c>
      <c r="B32" s="6" t="n">
        <v>36</v>
      </c>
      <c r="C32" s="6" t="s">
        <v>6</v>
      </c>
      <c r="D32" s="6" t="s">
        <v>7</v>
      </c>
      <c r="E32" s="6" t="n">
        <v>1400</v>
      </c>
      <c r="F32" s="7" t="s">
        <v>8</v>
      </c>
    </row>
    <row r="33" customFormat="false" ht="14.25" hidden="false" customHeight="false" outlineLevel="0" collapsed="false">
      <c r="A33" s="5" t="n">
        <v>32</v>
      </c>
      <c r="B33" s="6" t="n">
        <v>38</v>
      </c>
      <c r="C33" s="6" t="s">
        <v>10</v>
      </c>
      <c r="D33" s="6" t="s">
        <v>11</v>
      </c>
      <c r="E33" s="6" t="n">
        <v>1800</v>
      </c>
      <c r="F33" s="7" t="s">
        <v>12</v>
      </c>
    </row>
    <row r="34" customFormat="false" ht="14.25" hidden="false" customHeight="false" outlineLevel="0" collapsed="false">
      <c r="A34" s="5" t="n">
        <v>33</v>
      </c>
      <c r="B34" s="6" t="n">
        <v>41</v>
      </c>
      <c r="C34" s="6" t="s">
        <v>6</v>
      </c>
      <c r="D34" s="6" t="s">
        <v>14</v>
      </c>
      <c r="E34" s="6" t="n">
        <v>900</v>
      </c>
      <c r="F34" s="7" t="s">
        <v>15</v>
      </c>
    </row>
    <row r="35" customFormat="false" ht="14.25" hidden="false" customHeight="false" outlineLevel="0" collapsed="false">
      <c r="A35" s="5" t="n">
        <v>34</v>
      </c>
      <c r="B35" s="6" t="n">
        <v>20</v>
      </c>
      <c r="C35" s="6" t="s">
        <v>10</v>
      </c>
      <c r="D35" s="6" t="s">
        <v>17</v>
      </c>
      <c r="E35" s="6" t="n">
        <v>120</v>
      </c>
      <c r="F35" s="7" t="s">
        <v>15</v>
      </c>
    </row>
    <row r="36" customFormat="false" ht="14.25" hidden="false" customHeight="false" outlineLevel="0" collapsed="false">
      <c r="A36" s="5" t="n">
        <v>35</v>
      </c>
      <c r="B36" s="6" t="n">
        <v>57</v>
      </c>
      <c r="C36" s="6" t="s">
        <v>10</v>
      </c>
      <c r="D36" s="6" t="s">
        <v>18</v>
      </c>
      <c r="E36" s="6" t="n">
        <v>3200</v>
      </c>
      <c r="F36" s="7" t="s">
        <v>8</v>
      </c>
    </row>
    <row r="37" customFormat="false" ht="14.25" hidden="false" customHeight="false" outlineLevel="0" collapsed="false">
      <c r="A37" s="5" t="n">
        <v>36</v>
      </c>
      <c r="B37" s="6" t="n">
        <v>43</v>
      </c>
      <c r="C37" s="6" t="s">
        <v>6</v>
      </c>
      <c r="D37" s="6" t="s">
        <v>19</v>
      </c>
      <c r="E37" s="6" t="n">
        <v>1400</v>
      </c>
      <c r="F37" s="7" t="s">
        <v>12</v>
      </c>
    </row>
    <row r="38" customFormat="false" ht="14.25" hidden="false" customHeight="false" outlineLevel="0" collapsed="false">
      <c r="A38" s="5" t="n">
        <v>37</v>
      </c>
      <c r="B38" s="6" t="n">
        <v>34</v>
      </c>
      <c r="C38" s="6" t="s">
        <v>10</v>
      </c>
      <c r="D38" s="6" t="s">
        <v>20</v>
      </c>
      <c r="E38" s="6" t="n">
        <v>1000</v>
      </c>
      <c r="F38" s="7" t="s">
        <v>8</v>
      </c>
    </row>
    <row r="39" customFormat="false" ht="14.25" hidden="false" customHeight="false" outlineLevel="0" collapsed="false">
      <c r="A39" s="5" t="n">
        <v>38</v>
      </c>
      <c r="B39" s="6" t="n">
        <v>25</v>
      </c>
      <c r="C39" s="6" t="s">
        <v>6</v>
      </c>
      <c r="D39" s="6" t="s">
        <v>21</v>
      </c>
      <c r="E39" s="6" t="n">
        <v>400</v>
      </c>
      <c r="F39" s="7" t="s">
        <v>15</v>
      </c>
    </row>
    <row r="40" customFormat="false" ht="14.25" hidden="false" customHeight="false" outlineLevel="0" collapsed="false">
      <c r="A40" s="5" t="n">
        <v>39</v>
      </c>
      <c r="B40" s="6" t="n">
        <v>33</v>
      </c>
      <c r="C40" s="6" t="s">
        <v>10</v>
      </c>
      <c r="D40" s="6" t="s">
        <v>22</v>
      </c>
      <c r="E40" s="6" t="n">
        <v>750</v>
      </c>
      <c r="F40" s="7" t="s">
        <v>12</v>
      </c>
    </row>
    <row r="41" customFormat="false" ht="14.25" hidden="false" customHeight="false" outlineLevel="0" collapsed="false">
      <c r="A41" s="5" t="n">
        <v>40</v>
      </c>
      <c r="B41" s="6" t="n">
        <v>47</v>
      </c>
      <c r="C41" s="6" t="s">
        <v>6</v>
      </c>
      <c r="D41" s="6" t="s">
        <v>23</v>
      </c>
      <c r="E41" s="6" t="n">
        <v>1900</v>
      </c>
      <c r="F41" s="7" t="s">
        <v>15</v>
      </c>
    </row>
    <row r="42" customFormat="false" ht="14.25" hidden="false" customHeight="false" outlineLevel="0" collapsed="false">
      <c r="A42" s="5" t="n">
        <v>41</v>
      </c>
      <c r="B42" s="6" t="n">
        <v>30</v>
      </c>
      <c r="C42" s="6" t="s">
        <v>10</v>
      </c>
      <c r="D42" s="6" t="s">
        <v>7</v>
      </c>
      <c r="E42" s="6" t="n">
        <v>950</v>
      </c>
      <c r="F42" s="7" t="s">
        <v>8</v>
      </c>
    </row>
    <row r="43" customFormat="false" ht="14.25" hidden="false" customHeight="false" outlineLevel="0" collapsed="false">
      <c r="A43" s="5" t="n">
        <v>42</v>
      </c>
      <c r="B43" s="6" t="n">
        <v>29</v>
      </c>
      <c r="C43" s="6" t="s">
        <v>6</v>
      </c>
      <c r="D43" s="6" t="s">
        <v>11</v>
      </c>
      <c r="E43" s="6" t="n">
        <v>1100</v>
      </c>
      <c r="F43" s="7" t="s">
        <v>12</v>
      </c>
    </row>
    <row r="44" customFormat="false" ht="14.25" hidden="false" customHeight="false" outlineLevel="0" collapsed="false">
      <c r="A44" s="5" t="n">
        <v>43</v>
      </c>
      <c r="B44" s="6" t="n">
        <v>44</v>
      </c>
      <c r="C44" s="6" t="s">
        <v>6</v>
      </c>
      <c r="D44" s="6" t="s">
        <v>14</v>
      </c>
      <c r="E44" s="6" t="n">
        <v>650</v>
      </c>
      <c r="F44" s="7" t="s">
        <v>15</v>
      </c>
    </row>
    <row r="45" customFormat="false" ht="14.25" hidden="false" customHeight="false" outlineLevel="0" collapsed="false">
      <c r="A45" s="5" t="n">
        <v>44</v>
      </c>
      <c r="B45" s="6" t="n">
        <v>23</v>
      </c>
      <c r="C45" s="6" t="s">
        <v>10</v>
      </c>
      <c r="D45" s="6" t="s">
        <v>17</v>
      </c>
      <c r="E45" s="6" t="n">
        <v>180</v>
      </c>
      <c r="F45" s="7" t="s">
        <v>8</v>
      </c>
    </row>
    <row r="46" customFormat="false" ht="14.25" hidden="false" customHeight="false" outlineLevel="0" collapsed="false">
      <c r="A46" s="5" t="n">
        <v>45</v>
      </c>
      <c r="B46" s="6" t="n">
        <v>54</v>
      </c>
      <c r="C46" s="6" t="s">
        <v>10</v>
      </c>
      <c r="D46" s="6" t="s">
        <v>18</v>
      </c>
      <c r="E46" s="6" t="n">
        <v>2700</v>
      </c>
      <c r="F46" s="7" t="s">
        <v>8</v>
      </c>
    </row>
    <row r="47" customFormat="false" ht="14.25" hidden="false" customHeight="false" outlineLevel="0" collapsed="false">
      <c r="A47" s="5" t="n">
        <v>46</v>
      </c>
      <c r="B47" s="6" t="n">
        <v>42</v>
      </c>
      <c r="C47" s="6" t="s">
        <v>6</v>
      </c>
      <c r="D47" s="6" t="s">
        <v>19</v>
      </c>
      <c r="E47" s="6" t="n">
        <v>1250</v>
      </c>
      <c r="F47" s="7" t="s">
        <v>12</v>
      </c>
    </row>
    <row r="48" customFormat="false" ht="14.25" hidden="false" customHeight="false" outlineLevel="0" collapsed="false">
      <c r="A48" s="5" t="n">
        <v>47</v>
      </c>
      <c r="B48" s="6" t="n">
        <v>31</v>
      </c>
      <c r="C48" s="6" t="s">
        <v>10</v>
      </c>
      <c r="D48" s="6" t="s">
        <v>20</v>
      </c>
      <c r="E48" s="6" t="n">
        <v>850</v>
      </c>
      <c r="F48" s="7" t="s">
        <v>8</v>
      </c>
    </row>
    <row r="49" customFormat="false" ht="14.25" hidden="false" customHeight="false" outlineLevel="0" collapsed="false">
      <c r="A49" s="5" t="n">
        <v>48</v>
      </c>
      <c r="B49" s="6" t="n">
        <v>22</v>
      </c>
      <c r="C49" s="6" t="s">
        <v>6</v>
      </c>
      <c r="D49" s="6" t="s">
        <v>21</v>
      </c>
      <c r="E49" s="6" t="n">
        <v>320</v>
      </c>
      <c r="F49" s="7" t="s">
        <v>15</v>
      </c>
    </row>
    <row r="50" customFormat="false" ht="14.25" hidden="false" customHeight="false" outlineLevel="0" collapsed="false">
      <c r="A50" s="5" t="n">
        <v>49</v>
      </c>
      <c r="B50" s="6" t="n">
        <v>28</v>
      </c>
      <c r="C50" s="6" t="s">
        <v>10</v>
      </c>
      <c r="D50" s="6" t="s">
        <v>22</v>
      </c>
      <c r="E50" s="6" t="n">
        <v>650</v>
      </c>
      <c r="F50" s="7" t="s">
        <v>12</v>
      </c>
    </row>
    <row r="51" customFormat="false" ht="14.25" hidden="false" customHeight="false" outlineLevel="0" collapsed="false">
      <c r="A51" s="5" t="n">
        <v>50</v>
      </c>
      <c r="B51" s="6" t="n">
        <v>49</v>
      </c>
      <c r="C51" s="6" t="s">
        <v>6</v>
      </c>
      <c r="D51" s="6" t="s">
        <v>23</v>
      </c>
      <c r="E51" s="6" t="n">
        <v>2100</v>
      </c>
      <c r="F51" s="7" t="s">
        <v>15</v>
      </c>
    </row>
    <row r="52" customFormat="false" ht="14.25" hidden="false" customHeight="false" outlineLevel="0" collapsed="false">
      <c r="A52" s="5" t="n">
        <v>51</v>
      </c>
      <c r="B52" s="6" t="n">
        <v>35</v>
      </c>
      <c r="C52" s="6" t="s">
        <v>6</v>
      </c>
      <c r="D52" s="6" t="s">
        <v>7</v>
      </c>
      <c r="E52" s="6" t="n">
        <v>1600</v>
      </c>
      <c r="F52" s="7" t="s">
        <v>8</v>
      </c>
    </row>
    <row r="53" customFormat="false" ht="14.25" hidden="false" customHeight="false" outlineLevel="0" collapsed="false">
      <c r="A53" s="5" t="n">
        <v>52</v>
      </c>
      <c r="B53" s="6" t="n">
        <v>37</v>
      </c>
      <c r="C53" s="6" t="s">
        <v>10</v>
      </c>
      <c r="D53" s="6" t="s">
        <v>11</v>
      </c>
      <c r="E53" s="6" t="n">
        <v>2200</v>
      </c>
      <c r="F53" s="7" t="s">
        <v>12</v>
      </c>
    </row>
    <row r="54" customFormat="false" ht="14.25" hidden="false" customHeight="false" outlineLevel="0" collapsed="false">
      <c r="A54" s="5" t="n">
        <v>53</v>
      </c>
      <c r="B54" s="6" t="n">
        <v>40</v>
      </c>
      <c r="C54" s="6" t="s">
        <v>6</v>
      </c>
      <c r="D54" s="6" t="s">
        <v>14</v>
      </c>
      <c r="E54" s="6" t="n">
        <v>750</v>
      </c>
      <c r="F54" s="7" t="s">
        <v>15</v>
      </c>
    </row>
    <row r="55" customFormat="false" ht="14.25" hidden="false" customHeight="false" outlineLevel="0" collapsed="false">
      <c r="A55" s="5" t="n">
        <v>54</v>
      </c>
      <c r="B55" s="6" t="n">
        <v>18</v>
      </c>
      <c r="C55" s="6" t="s">
        <v>10</v>
      </c>
      <c r="D55" s="6" t="s">
        <v>17</v>
      </c>
      <c r="E55" s="6" t="n">
        <v>80</v>
      </c>
      <c r="F55" s="7" t="s">
        <v>8</v>
      </c>
    </row>
    <row r="56" customFormat="false" ht="14.25" hidden="false" customHeight="false" outlineLevel="0" collapsed="false">
      <c r="A56" s="5" t="n">
        <v>55</v>
      </c>
      <c r="B56" s="6" t="n">
        <v>53</v>
      </c>
      <c r="C56" s="6" t="s">
        <v>10</v>
      </c>
      <c r="D56" s="6" t="s">
        <v>18</v>
      </c>
      <c r="E56" s="6" t="n">
        <v>3500</v>
      </c>
      <c r="F56" s="7" t="s">
        <v>8</v>
      </c>
    </row>
    <row r="57" customFormat="false" ht="14.25" hidden="false" customHeight="false" outlineLevel="0" collapsed="false">
      <c r="A57" s="5" t="n">
        <v>56</v>
      </c>
      <c r="B57" s="6" t="n">
        <v>39</v>
      </c>
      <c r="C57" s="6" t="s">
        <v>6</v>
      </c>
      <c r="D57" s="6" t="s">
        <v>19</v>
      </c>
      <c r="E57" s="6" t="n">
        <v>1400</v>
      </c>
      <c r="F57" s="7" t="s">
        <v>12</v>
      </c>
    </row>
    <row r="58" customFormat="false" ht="14.25" hidden="false" customHeight="false" outlineLevel="0" collapsed="false">
      <c r="A58" s="5" t="n">
        <v>57</v>
      </c>
      <c r="B58" s="6" t="n">
        <v>32</v>
      </c>
      <c r="C58" s="6" t="s">
        <v>10</v>
      </c>
      <c r="D58" s="6" t="s">
        <v>20</v>
      </c>
      <c r="E58" s="6" t="n">
        <v>950</v>
      </c>
      <c r="F58" s="7" t="s">
        <v>8</v>
      </c>
    </row>
    <row r="59" customFormat="false" ht="14.25" hidden="false" customHeight="false" outlineLevel="0" collapsed="false">
      <c r="A59" s="5" t="n">
        <v>58</v>
      </c>
      <c r="B59" s="6" t="n">
        <v>24</v>
      </c>
      <c r="C59" s="6" t="s">
        <v>6</v>
      </c>
      <c r="D59" s="6" t="s">
        <v>21</v>
      </c>
      <c r="E59" s="6" t="n">
        <v>280</v>
      </c>
      <c r="F59" s="7" t="s">
        <v>15</v>
      </c>
    </row>
    <row r="60" customFormat="false" ht="14.25" hidden="false" customHeight="false" outlineLevel="0" collapsed="false">
      <c r="A60" s="5" t="n">
        <v>59</v>
      </c>
      <c r="B60" s="6" t="n">
        <v>31</v>
      </c>
      <c r="C60" s="6" t="s">
        <v>10</v>
      </c>
      <c r="D60" s="6" t="s">
        <v>22</v>
      </c>
      <c r="E60" s="6" t="n">
        <v>650</v>
      </c>
      <c r="F60" s="7" t="s">
        <v>12</v>
      </c>
    </row>
    <row r="61" customFormat="false" ht="14.25" hidden="false" customHeight="false" outlineLevel="0" collapsed="false">
      <c r="A61" s="10" t="n">
        <v>60</v>
      </c>
      <c r="B61" s="11" t="n">
        <v>50</v>
      </c>
      <c r="C61" s="11" t="s">
        <v>6</v>
      </c>
      <c r="D61" s="11" t="s">
        <v>23</v>
      </c>
      <c r="E61" s="11" t="n">
        <v>2300</v>
      </c>
      <c r="F61" s="12" t="s">
        <v>15</v>
      </c>
    </row>
  </sheetData>
  <autoFilter ref="A1:F6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11.91"/>
    <col collapsed="false" customWidth="true" hidden="false" outlineLevel="0" max="2" min="2" style="1" width="10.82"/>
    <col collapsed="false" customWidth="true" hidden="false" outlineLevel="0" max="4" min="4" style="1" width="10.27"/>
    <col collapsed="false" customWidth="true" hidden="false" outlineLevel="0" max="5" min="5" style="1" width="15.09"/>
    <col collapsed="false" customWidth="true" hidden="false" outlineLevel="0" max="6" min="6" style="1" width="16.6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4.25" hidden="false" customHeight="false" outlineLevel="0" collapsed="false">
      <c r="A2" s="5" t="n">
        <v>1</v>
      </c>
      <c r="B2" s="6" t="n">
        <v>28</v>
      </c>
      <c r="C2" s="6" t="s">
        <v>6</v>
      </c>
      <c r="D2" s="6" t="s">
        <v>7</v>
      </c>
      <c r="E2" s="6" t="n">
        <v>1500</v>
      </c>
      <c r="F2" s="7" t="s">
        <v>8</v>
      </c>
      <c r="I2" s="13" t="s">
        <v>9</v>
      </c>
      <c r="J2" s="14" t="n">
        <f aca="false">AVERAGE(E2:E61)</f>
        <v>1190.55</v>
      </c>
    </row>
    <row r="3" customFormat="false" ht="14.25" hidden="false" customHeight="false" outlineLevel="0" collapsed="false">
      <c r="A3" s="5" t="n">
        <v>2</v>
      </c>
      <c r="B3" s="6" t="n">
        <v>35</v>
      </c>
      <c r="C3" s="6" t="s">
        <v>10</v>
      </c>
      <c r="D3" s="6" t="s">
        <v>11</v>
      </c>
      <c r="E3" s="6" t="n">
        <v>2000</v>
      </c>
      <c r="F3" s="7" t="s">
        <v>12</v>
      </c>
      <c r="I3" s="13" t="s">
        <v>13</v>
      </c>
      <c r="J3" s="1" t="n">
        <f aca="false">MEDIAN(E2:E61)</f>
        <v>950</v>
      </c>
    </row>
    <row r="4" customFormat="false" ht="14.25" hidden="false" customHeight="false" outlineLevel="0" collapsed="false">
      <c r="A4" s="5" t="n">
        <v>3</v>
      </c>
      <c r="B4" s="6" t="n">
        <v>42</v>
      </c>
      <c r="C4" s="6" t="s">
        <v>6</v>
      </c>
      <c r="D4" s="6" t="s">
        <v>14</v>
      </c>
      <c r="E4" s="6" t="n">
        <v>500</v>
      </c>
      <c r="F4" s="7" t="s">
        <v>15</v>
      </c>
      <c r="I4" s="13" t="s">
        <v>16</v>
      </c>
      <c r="J4" s="1" t="n">
        <f aca="false">MODE(E2:E61)</f>
        <v>650</v>
      </c>
    </row>
    <row r="5" customFormat="false" ht="14.25" hidden="false" customHeight="false" outlineLevel="0" collapsed="false">
      <c r="A5" s="5" t="n">
        <v>4</v>
      </c>
      <c r="B5" s="6" t="n">
        <v>19</v>
      </c>
      <c r="C5" s="6" t="s">
        <v>10</v>
      </c>
      <c r="D5" s="6" t="s">
        <v>17</v>
      </c>
      <c r="E5" s="6" t="n">
        <v>100</v>
      </c>
      <c r="F5" s="7" t="s">
        <v>8</v>
      </c>
    </row>
    <row r="6" customFormat="false" ht="14.25" hidden="false" customHeight="false" outlineLevel="0" collapsed="false">
      <c r="A6" s="5" t="n">
        <v>5</v>
      </c>
      <c r="B6" s="6" t="n">
        <v>56</v>
      </c>
      <c r="C6" s="6" t="s">
        <v>10</v>
      </c>
      <c r="D6" s="6" t="s">
        <v>18</v>
      </c>
      <c r="E6" s="6" t="n">
        <v>3000</v>
      </c>
      <c r="F6" s="7" t="s">
        <v>8</v>
      </c>
    </row>
    <row r="7" customFormat="false" ht="14.25" hidden="false" customHeight="false" outlineLevel="0" collapsed="false">
      <c r="A7" s="5" t="n">
        <v>6</v>
      </c>
      <c r="B7" s="6" t="n">
        <v>41</v>
      </c>
      <c r="C7" s="6" t="s">
        <v>6</v>
      </c>
      <c r="D7" s="6" t="s">
        <v>19</v>
      </c>
      <c r="E7" s="6" t="n">
        <v>1200</v>
      </c>
      <c r="F7" s="7" t="s">
        <v>12</v>
      </c>
    </row>
    <row r="8" customFormat="false" ht="14.25" hidden="false" customHeight="false" outlineLevel="0" collapsed="false">
      <c r="A8" s="5" t="n">
        <v>7</v>
      </c>
      <c r="B8" s="6" t="n">
        <v>33</v>
      </c>
      <c r="C8" s="6" t="s">
        <v>10</v>
      </c>
      <c r="D8" s="6" t="s">
        <v>20</v>
      </c>
      <c r="E8" s="6" t="n">
        <v>800</v>
      </c>
      <c r="F8" s="7" t="s">
        <v>8</v>
      </c>
    </row>
    <row r="9" customFormat="false" ht="14.25" hidden="false" customHeight="false" outlineLevel="0" collapsed="false">
      <c r="A9" s="5" t="n">
        <v>8</v>
      </c>
      <c r="B9" s="6" t="n">
        <v>24</v>
      </c>
      <c r="C9" s="6" t="s">
        <v>6</v>
      </c>
      <c r="D9" s="6" t="s">
        <v>21</v>
      </c>
      <c r="E9" s="6" t="n">
        <v>250</v>
      </c>
      <c r="F9" s="7" t="s">
        <v>15</v>
      </c>
    </row>
    <row r="10" customFormat="false" ht="14.25" hidden="false" customHeight="false" outlineLevel="0" collapsed="false">
      <c r="A10" s="5" t="n">
        <v>9</v>
      </c>
      <c r="B10" s="6" t="n">
        <v>29</v>
      </c>
      <c r="C10" s="6" t="s">
        <v>10</v>
      </c>
      <c r="D10" s="6" t="s">
        <v>22</v>
      </c>
      <c r="E10" s="6" t="n">
        <v>700</v>
      </c>
      <c r="F10" s="7" t="s">
        <v>12</v>
      </c>
    </row>
    <row r="11" customFormat="false" ht="14.25" hidden="false" customHeight="false" outlineLevel="0" collapsed="false">
      <c r="A11" s="5" t="n">
        <v>10</v>
      </c>
      <c r="B11" s="6" t="n">
        <v>45</v>
      </c>
      <c r="C11" s="6" t="s">
        <v>6</v>
      </c>
      <c r="D11" s="6" t="s">
        <v>23</v>
      </c>
      <c r="E11" s="6" t="n">
        <v>1800</v>
      </c>
      <c r="F11" s="7" t="s">
        <v>15</v>
      </c>
    </row>
    <row r="12" customFormat="false" ht="14.25" hidden="false" customHeight="false" outlineLevel="0" collapsed="false">
      <c r="A12" s="5" t="n">
        <v>11</v>
      </c>
      <c r="B12" s="6" t="n">
        <v>31</v>
      </c>
      <c r="C12" s="6" t="s">
        <v>6</v>
      </c>
      <c r="D12" s="6" t="s">
        <v>7</v>
      </c>
      <c r="E12" s="6" t="n">
        <v>900</v>
      </c>
      <c r="F12" s="7" t="s">
        <v>8</v>
      </c>
    </row>
    <row r="13" customFormat="false" ht="14.25" hidden="false" customHeight="false" outlineLevel="0" collapsed="false">
      <c r="A13" s="5" t="n">
        <v>12</v>
      </c>
      <c r="B13" s="6" t="n">
        <v>39</v>
      </c>
      <c r="C13" s="6" t="s">
        <v>10</v>
      </c>
      <c r="D13" s="6" t="s">
        <v>11</v>
      </c>
      <c r="E13" s="6" t="n">
        <v>1500</v>
      </c>
      <c r="F13" s="7" t="s">
        <v>12</v>
      </c>
    </row>
    <row r="14" customFormat="false" ht="14.25" hidden="false" customHeight="false" outlineLevel="0" collapsed="false">
      <c r="A14" s="5" t="n">
        <v>13</v>
      </c>
      <c r="B14" s="6" t="n">
        <v>37</v>
      </c>
      <c r="C14" s="6" t="s">
        <v>6</v>
      </c>
      <c r="D14" s="6" t="s">
        <v>14</v>
      </c>
      <c r="E14" s="6" t="n">
        <v>600</v>
      </c>
      <c r="F14" s="7" t="s">
        <v>15</v>
      </c>
    </row>
    <row r="15" customFormat="false" ht="14.25" hidden="false" customHeight="false" outlineLevel="0" collapsed="false">
      <c r="A15" s="5" t="n">
        <v>14</v>
      </c>
      <c r="B15" s="6" t="n">
        <v>22</v>
      </c>
      <c r="C15" s="6" t="s">
        <v>10</v>
      </c>
      <c r="D15" s="6" t="s">
        <v>17</v>
      </c>
      <c r="E15" s="6" t="n">
        <v>200</v>
      </c>
      <c r="F15" s="7" t="s">
        <v>8</v>
      </c>
    </row>
    <row r="16" customFormat="false" ht="14.25" hidden="false" customHeight="false" outlineLevel="0" collapsed="false">
      <c r="A16" s="5" t="n">
        <v>15</v>
      </c>
      <c r="B16" s="6" t="n">
        <v>44</v>
      </c>
      <c r="C16" s="6" t="s">
        <v>10</v>
      </c>
      <c r="D16" s="6" t="s">
        <v>18</v>
      </c>
      <c r="E16" s="6" t="n">
        <v>2500</v>
      </c>
      <c r="F16" s="7" t="s">
        <v>8</v>
      </c>
    </row>
    <row r="17" customFormat="false" ht="14.25" hidden="false" customHeight="false" outlineLevel="0" collapsed="false">
      <c r="A17" s="5" t="n">
        <v>16</v>
      </c>
      <c r="B17" s="6" t="n">
        <v>27</v>
      </c>
      <c r="C17" s="6" t="s">
        <v>6</v>
      </c>
      <c r="D17" s="6" t="s">
        <v>19</v>
      </c>
      <c r="E17" s="6" t="n">
        <v>1100</v>
      </c>
      <c r="F17" s="7" t="s">
        <v>12</v>
      </c>
    </row>
    <row r="18" customFormat="false" ht="14.25" hidden="false" customHeight="false" outlineLevel="0" collapsed="false">
      <c r="A18" s="5" t="n">
        <v>17</v>
      </c>
      <c r="B18" s="6" t="n">
        <v>30</v>
      </c>
      <c r="C18" s="6" t="s">
        <v>10</v>
      </c>
      <c r="D18" s="6" t="s">
        <v>20</v>
      </c>
      <c r="E18" s="6" t="n">
        <v>1200</v>
      </c>
      <c r="F18" s="7" t="s">
        <v>8</v>
      </c>
    </row>
    <row r="19" customFormat="false" ht="14.25" hidden="false" customHeight="false" outlineLevel="0" collapsed="false">
      <c r="A19" s="5" t="n">
        <v>18</v>
      </c>
      <c r="B19" s="6" t="n">
        <v>26</v>
      </c>
      <c r="C19" s="6" t="s">
        <v>6</v>
      </c>
      <c r="D19" s="6" t="s">
        <v>21</v>
      </c>
      <c r="E19" s="6" t="n">
        <v>350</v>
      </c>
      <c r="F19" s="7" t="s">
        <v>15</v>
      </c>
    </row>
    <row r="20" customFormat="false" ht="14.25" hidden="false" customHeight="false" outlineLevel="0" collapsed="false">
      <c r="A20" s="5" t="n">
        <v>19</v>
      </c>
      <c r="B20" s="6" t="n">
        <v>34</v>
      </c>
      <c r="C20" s="6" t="s">
        <v>10</v>
      </c>
      <c r="D20" s="6" t="s">
        <v>22</v>
      </c>
      <c r="E20" s="6" t="n">
        <v>800</v>
      </c>
      <c r="F20" s="7" t="s">
        <v>12</v>
      </c>
    </row>
    <row r="21" customFormat="false" ht="14.25" hidden="false" customHeight="false" outlineLevel="0" collapsed="false">
      <c r="A21" s="5" t="n">
        <v>20</v>
      </c>
      <c r="B21" s="6" t="n">
        <v>48</v>
      </c>
      <c r="C21" s="6" t="s">
        <v>6</v>
      </c>
      <c r="D21" s="6" t="s">
        <v>23</v>
      </c>
      <c r="E21" s="6" t="n">
        <v>2000</v>
      </c>
      <c r="F21" s="7" t="s">
        <v>15</v>
      </c>
    </row>
    <row r="22" customFormat="false" ht="14.25" hidden="false" customHeight="false" outlineLevel="0" collapsed="false">
      <c r="A22" s="5" t="n">
        <v>21</v>
      </c>
      <c r="B22" s="6" t="n">
        <v>39</v>
      </c>
      <c r="C22" s="6" t="s">
        <v>10</v>
      </c>
      <c r="D22" s="6" t="s">
        <v>7</v>
      </c>
      <c r="E22" s="6" t="n">
        <v>800</v>
      </c>
      <c r="F22" s="7" t="s">
        <v>8</v>
      </c>
    </row>
    <row r="23" customFormat="false" ht="14.25" hidden="false" customHeight="false" outlineLevel="0" collapsed="false">
      <c r="A23" s="5" t="n">
        <v>22</v>
      </c>
      <c r="B23" s="6" t="n">
        <v>28</v>
      </c>
      <c r="C23" s="6" t="s">
        <v>6</v>
      </c>
      <c r="D23" s="6" t="s">
        <v>11</v>
      </c>
      <c r="E23" s="6" t="n">
        <v>1200</v>
      </c>
      <c r="F23" s="7" t="s">
        <v>12</v>
      </c>
    </row>
    <row r="24" customFormat="false" ht="14.25" hidden="false" customHeight="false" outlineLevel="0" collapsed="false">
      <c r="A24" s="5" t="n">
        <v>23</v>
      </c>
      <c r="B24" s="6" t="n">
        <v>43</v>
      </c>
      <c r="C24" s="6" t="s">
        <v>6</v>
      </c>
      <c r="D24" s="6" t="s">
        <v>14</v>
      </c>
      <c r="E24" s="6" t="n">
        <v>700</v>
      </c>
      <c r="F24" s="7" t="s">
        <v>15</v>
      </c>
    </row>
    <row r="25" customFormat="false" ht="14.25" hidden="false" customHeight="false" outlineLevel="0" collapsed="false">
      <c r="A25" s="5" t="n">
        <v>24</v>
      </c>
      <c r="B25" s="6" t="n">
        <v>21</v>
      </c>
      <c r="C25" s="6" t="s">
        <v>10</v>
      </c>
      <c r="D25" s="6" t="s">
        <v>17</v>
      </c>
      <c r="E25" s="6" t="n">
        <v>150</v>
      </c>
      <c r="F25" s="7" t="s">
        <v>8</v>
      </c>
    </row>
    <row r="26" customFormat="false" ht="14.25" hidden="false" customHeight="false" outlineLevel="0" collapsed="false">
      <c r="A26" s="5" t="n">
        <v>25</v>
      </c>
      <c r="B26" s="6" t="n">
        <v>55</v>
      </c>
      <c r="C26" s="6" t="s">
        <v>10</v>
      </c>
      <c r="D26" s="6" t="s">
        <v>18</v>
      </c>
      <c r="E26" s="6" t="n">
        <v>2800</v>
      </c>
      <c r="F26" s="7" t="s">
        <v>8</v>
      </c>
    </row>
    <row r="27" customFormat="false" ht="14.25" hidden="false" customHeight="false" outlineLevel="0" collapsed="false">
      <c r="A27" s="5" t="n">
        <v>26</v>
      </c>
      <c r="B27" s="6" t="n">
        <v>40</v>
      </c>
      <c r="C27" s="6" t="s">
        <v>6</v>
      </c>
      <c r="D27" s="6" t="s">
        <v>19</v>
      </c>
      <c r="E27" s="6" t="n">
        <v>1300</v>
      </c>
      <c r="F27" s="7" t="s">
        <v>12</v>
      </c>
    </row>
    <row r="28" customFormat="false" ht="14.25" hidden="false" customHeight="false" outlineLevel="0" collapsed="false">
      <c r="A28" s="5" t="n">
        <v>27</v>
      </c>
      <c r="B28" s="6" t="n">
        <v>32</v>
      </c>
      <c r="C28" s="6" t="s">
        <v>10</v>
      </c>
      <c r="D28" s="6" t="s">
        <v>20</v>
      </c>
      <c r="E28" s="6" t="n">
        <v>900</v>
      </c>
      <c r="F28" s="7" t="s">
        <v>8</v>
      </c>
    </row>
    <row r="29" customFormat="false" ht="14.25" hidden="false" customHeight="false" outlineLevel="0" collapsed="false">
      <c r="A29" s="5" t="n">
        <v>28</v>
      </c>
      <c r="B29" s="6" t="n">
        <v>23</v>
      </c>
      <c r="C29" s="6" t="s">
        <v>6</v>
      </c>
      <c r="D29" s="6" t="s">
        <v>21</v>
      </c>
      <c r="E29" s="6" t="n">
        <v>300</v>
      </c>
      <c r="F29" s="7" t="s">
        <v>15</v>
      </c>
    </row>
    <row r="30" customFormat="false" ht="14.25" hidden="false" customHeight="false" outlineLevel="0" collapsed="false">
      <c r="A30" s="5" t="n">
        <v>29</v>
      </c>
      <c r="B30" s="6" t="n">
        <v>27</v>
      </c>
      <c r="C30" s="6" t="s">
        <v>10</v>
      </c>
      <c r="D30" s="6" t="s">
        <v>22</v>
      </c>
      <c r="E30" s="6" t="n">
        <v>600</v>
      </c>
      <c r="F30" s="7" t="s">
        <v>12</v>
      </c>
    </row>
    <row r="31" customFormat="false" ht="14.25" hidden="false" customHeight="false" outlineLevel="0" collapsed="false">
      <c r="A31" s="5" t="n">
        <v>30</v>
      </c>
      <c r="B31" s="6" t="n">
        <v>46</v>
      </c>
      <c r="C31" s="6" t="s">
        <v>6</v>
      </c>
      <c r="D31" s="6" t="s">
        <v>23</v>
      </c>
      <c r="E31" s="6" t="n">
        <v>1700</v>
      </c>
      <c r="F31" s="7" t="s">
        <v>15</v>
      </c>
    </row>
    <row r="32" customFormat="false" ht="14.25" hidden="false" customHeight="false" outlineLevel="0" collapsed="false">
      <c r="A32" s="5" t="n">
        <v>31</v>
      </c>
      <c r="B32" s="6" t="n">
        <v>36</v>
      </c>
      <c r="C32" s="6" t="s">
        <v>6</v>
      </c>
      <c r="D32" s="6" t="s">
        <v>7</v>
      </c>
      <c r="E32" s="6" t="n">
        <v>1400</v>
      </c>
      <c r="F32" s="7" t="s">
        <v>8</v>
      </c>
    </row>
    <row r="33" customFormat="false" ht="14.25" hidden="false" customHeight="false" outlineLevel="0" collapsed="false">
      <c r="A33" s="5" t="n">
        <v>32</v>
      </c>
      <c r="B33" s="6" t="n">
        <v>38</v>
      </c>
      <c r="C33" s="6" t="s">
        <v>10</v>
      </c>
      <c r="D33" s="6" t="s">
        <v>11</v>
      </c>
      <c r="E33" s="6" t="n">
        <v>1800</v>
      </c>
      <c r="F33" s="7" t="s">
        <v>12</v>
      </c>
    </row>
    <row r="34" customFormat="false" ht="14.25" hidden="false" customHeight="false" outlineLevel="0" collapsed="false">
      <c r="A34" s="5" t="n">
        <v>33</v>
      </c>
      <c r="B34" s="6" t="n">
        <v>41</v>
      </c>
      <c r="C34" s="6" t="s">
        <v>6</v>
      </c>
      <c r="D34" s="6" t="s">
        <v>14</v>
      </c>
      <c r="E34" s="6" t="n">
        <v>900</v>
      </c>
      <c r="F34" s="7" t="s">
        <v>15</v>
      </c>
    </row>
    <row r="35" customFormat="false" ht="14.25" hidden="false" customHeight="false" outlineLevel="0" collapsed="false">
      <c r="A35" s="5" t="n">
        <v>34</v>
      </c>
      <c r="B35" s="6" t="n">
        <v>20</v>
      </c>
      <c r="C35" s="6" t="s">
        <v>10</v>
      </c>
      <c r="D35" s="6" t="s">
        <v>17</v>
      </c>
      <c r="E35" s="6" t="n">
        <v>120</v>
      </c>
      <c r="F35" s="7" t="s">
        <v>15</v>
      </c>
    </row>
    <row r="36" customFormat="false" ht="14.25" hidden="false" customHeight="false" outlineLevel="0" collapsed="false">
      <c r="A36" s="5" t="n">
        <v>35</v>
      </c>
      <c r="B36" s="6" t="n">
        <v>57</v>
      </c>
      <c r="C36" s="6" t="s">
        <v>10</v>
      </c>
      <c r="D36" s="6" t="s">
        <v>18</v>
      </c>
      <c r="E36" s="6" t="n">
        <v>3200</v>
      </c>
      <c r="F36" s="7" t="s">
        <v>8</v>
      </c>
    </row>
    <row r="37" customFormat="false" ht="14.25" hidden="false" customHeight="false" outlineLevel="0" collapsed="false">
      <c r="A37" s="5" t="n">
        <v>36</v>
      </c>
      <c r="B37" s="6" t="n">
        <v>43</v>
      </c>
      <c r="C37" s="6" t="s">
        <v>6</v>
      </c>
      <c r="D37" s="6" t="s">
        <v>19</v>
      </c>
      <c r="E37" s="6" t="n">
        <v>1400</v>
      </c>
      <c r="F37" s="7" t="s">
        <v>12</v>
      </c>
    </row>
    <row r="38" customFormat="false" ht="14.25" hidden="false" customHeight="false" outlineLevel="0" collapsed="false">
      <c r="A38" s="5" t="n">
        <v>37</v>
      </c>
      <c r="B38" s="6" t="n">
        <v>34</v>
      </c>
      <c r="C38" s="6" t="s">
        <v>10</v>
      </c>
      <c r="D38" s="6" t="s">
        <v>20</v>
      </c>
      <c r="E38" s="6" t="n">
        <v>1000</v>
      </c>
      <c r="F38" s="7" t="s">
        <v>8</v>
      </c>
    </row>
    <row r="39" customFormat="false" ht="14.25" hidden="false" customHeight="false" outlineLevel="0" collapsed="false">
      <c r="A39" s="5" t="n">
        <v>38</v>
      </c>
      <c r="B39" s="6" t="n">
        <v>25</v>
      </c>
      <c r="C39" s="6" t="s">
        <v>6</v>
      </c>
      <c r="D39" s="6" t="s">
        <v>21</v>
      </c>
      <c r="E39" s="6" t="n">
        <v>400</v>
      </c>
      <c r="F39" s="7" t="s">
        <v>15</v>
      </c>
    </row>
    <row r="40" customFormat="false" ht="14.25" hidden="false" customHeight="false" outlineLevel="0" collapsed="false">
      <c r="A40" s="5" t="n">
        <v>39</v>
      </c>
      <c r="B40" s="6" t="n">
        <v>33</v>
      </c>
      <c r="C40" s="6" t="s">
        <v>10</v>
      </c>
      <c r="D40" s="6" t="s">
        <v>22</v>
      </c>
      <c r="E40" s="6" t="n">
        <v>750</v>
      </c>
      <c r="F40" s="7" t="s">
        <v>12</v>
      </c>
    </row>
    <row r="41" customFormat="false" ht="14.25" hidden="false" customHeight="false" outlineLevel="0" collapsed="false">
      <c r="A41" s="5" t="n">
        <v>40</v>
      </c>
      <c r="B41" s="6" t="n">
        <v>47</v>
      </c>
      <c r="C41" s="6" t="s">
        <v>6</v>
      </c>
      <c r="D41" s="6" t="s">
        <v>23</v>
      </c>
      <c r="E41" s="6" t="n">
        <v>1900</v>
      </c>
      <c r="F41" s="7" t="s">
        <v>15</v>
      </c>
    </row>
    <row r="42" customFormat="false" ht="14.25" hidden="false" customHeight="false" outlineLevel="0" collapsed="false">
      <c r="A42" s="5" t="n">
        <v>41</v>
      </c>
      <c r="B42" s="6" t="n">
        <v>30</v>
      </c>
      <c r="C42" s="6" t="s">
        <v>10</v>
      </c>
      <c r="D42" s="6" t="s">
        <v>7</v>
      </c>
      <c r="E42" s="6" t="n">
        <v>950</v>
      </c>
      <c r="F42" s="7" t="s">
        <v>8</v>
      </c>
    </row>
    <row r="43" customFormat="false" ht="14.25" hidden="false" customHeight="false" outlineLevel="0" collapsed="false">
      <c r="A43" s="5" t="n">
        <v>42</v>
      </c>
      <c r="B43" s="6" t="n">
        <v>29</v>
      </c>
      <c r="C43" s="6" t="s">
        <v>6</v>
      </c>
      <c r="D43" s="6" t="s">
        <v>11</v>
      </c>
      <c r="E43" s="6" t="n">
        <v>1100</v>
      </c>
      <c r="F43" s="7" t="s">
        <v>12</v>
      </c>
    </row>
    <row r="44" customFormat="false" ht="14.25" hidden="false" customHeight="false" outlineLevel="0" collapsed="false">
      <c r="A44" s="5" t="n">
        <v>43</v>
      </c>
      <c r="B44" s="6" t="n">
        <v>44</v>
      </c>
      <c r="C44" s="6" t="s">
        <v>6</v>
      </c>
      <c r="D44" s="6" t="s">
        <v>14</v>
      </c>
      <c r="E44" s="6" t="n">
        <v>650</v>
      </c>
      <c r="F44" s="7" t="s">
        <v>15</v>
      </c>
    </row>
    <row r="45" customFormat="false" ht="14.25" hidden="false" customHeight="false" outlineLevel="0" collapsed="false">
      <c r="A45" s="5" t="n">
        <v>44</v>
      </c>
      <c r="B45" s="6" t="n">
        <v>23</v>
      </c>
      <c r="C45" s="6" t="s">
        <v>10</v>
      </c>
      <c r="D45" s="6" t="s">
        <v>17</v>
      </c>
      <c r="E45" s="6" t="n">
        <v>180</v>
      </c>
      <c r="F45" s="7" t="s">
        <v>8</v>
      </c>
    </row>
    <row r="46" customFormat="false" ht="14.25" hidden="false" customHeight="false" outlineLevel="0" collapsed="false">
      <c r="A46" s="5" t="n">
        <v>45</v>
      </c>
      <c r="B46" s="6" t="n">
        <v>54</v>
      </c>
      <c r="C46" s="6" t="s">
        <v>10</v>
      </c>
      <c r="D46" s="6" t="s">
        <v>18</v>
      </c>
      <c r="E46" s="6" t="n">
        <v>2700</v>
      </c>
      <c r="F46" s="7" t="s">
        <v>8</v>
      </c>
    </row>
    <row r="47" customFormat="false" ht="14.25" hidden="false" customHeight="false" outlineLevel="0" collapsed="false">
      <c r="A47" s="5" t="n">
        <v>46</v>
      </c>
      <c r="B47" s="6" t="n">
        <v>42</v>
      </c>
      <c r="C47" s="6" t="s">
        <v>6</v>
      </c>
      <c r="D47" s="6" t="s">
        <v>19</v>
      </c>
      <c r="E47" s="6" t="n">
        <v>1250</v>
      </c>
      <c r="F47" s="7" t="s">
        <v>12</v>
      </c>
    </row>
    <row r="48" customFormat="false" ht="14.25" hidden="false" customHeight="false" outlineLevel="0" collapsed="false">
      <c r="A48" s="5" t="n">
        <v>47</v>
      </c>
      <c r="B48" s="6" t="n">
        <v>31</v>
      </c>
      <c r="C48" s="6" t="s">
        <v>10</v>
      </c>
      <c r="D48" s="6" t="s">
        <v>20</v>
      </c>
      <c r="E48" s="6" t="n">
        <v>850</v>
      </c>
      <c r="F48" s="7" t="s">
        <v>8</v>
      </c>
    </row>
    <row r="49" customFormat="false" ht="14.25" hidden="false" customHeight="false" outlineLevel="0" collapsed="false">
      <c r="A49" s="5" t="n">
        <v>48</v>
      </c>
      <c r="B49" s="6" t="n">
        <v>22</v>
      </c>
      <c r="C49" s="6" t="s">
        <v>6</v>
      </c>
      <c r="D49" s="6" t="s">
        <v>21</v>
      </c>
      <c r="E49" s="6" t="n">
        <v>320</v>
      </c>
      <c r="F49" s="7" t="s">
        <v>15</v>
      </c>
    </row>
    <row r="50" customFormat="false" ht="14.25" hidden="false" customHeight="false" outlineLevel="0" collapsed="false">
      <c r="A50" s="5" t="n">
        <v>49</v>
      </c>
      <c r="B50" s="6" t="n">
        <v>28</v>
      </c>
      <c r="C50" s="6" t="s">
        <v>10</v>
      </c>
      <c r="D50" s="6" t="s">
        <v>22</v>
      </c>
      <c r="E50" s="6" t="n">
        <v>650</v>
      </c>
      <c r="F50" s="7" t="s">
        <v>12</v>
      </c>
    </row>
    <row r="51" s="1" customFormat="true" ht="14.25" hidden="false" customHeight="false" outlineLevel="0" collapsed="false">
      <c r="A51" s="15" t="n">
        <v>50</v>
      </c>
      <c r="B51" s="16" t="n">
        <v>49</v>
      </c>
      <c r="C51" s="16" t="s">
        <v>6</v>
      </c>
      <c r="D51" s="16" t="s">
        <v>23</v>
      </c>
      <c r="E51" s="16" t="n">
        <v>2753</v>
      </c>
      <c r="F51" s="17" t="s">
        <v>15</v>
      </c>
    </row>
    <row r="52" customFormat="false" ht="14.25" hidden="false" customHeight="false" outlineLevel="0" collapsed="false">
      <c r="A52" s="5" t="n">
        <v>51</v>
      </c>
      <c r="B52" s="6" t="n">
        <v>35</v>
      </c>
      <c r="C52" s="6" t="s">
        <v>6</v>
      </c>
      <c r="D52" s="6" t="s">
        <v>7</v>
      </c>
      <c r="E52" s="6" t="n">
        <v>1600</v>
      </c>
      <c r="F52" s="7" t="s">
        <v>8</v>
      </c>
    </row>
    <row r="53" customFormat="false" ht="14.25" hidden="false" customHeight="false" outlineLevel="0" collapsed="false">
      <c r="A53" s="5" t="n">
        <v>52</v>
      </c>
      <c r="B53" s="6" t="n">
        <v>37</v>
      </c>
      <c r="C53" s="6" t="s">
        <v>10</v>
      </c>
      <c r="D53" s="6" t="s">
        <v>11</v>
      </c>
      <c r="E53" s="6" t="n">
        <v>2200</v>
      </c>
      <c r="F53" s="7" t="s">
        <v>12</v>
      </c>
    </row>
    <row r="54" customFormat="false" ht="14.25" hidden="false" customHeight="false" outlineLevel="0" collapsed="false">
      <c r="A54" s="5" t="n">
        <v>53</v>
      </c>
      <c r="B54" s="6" t="n">
        <v>40</v>
      </c>
      <c r="C54" s="6" t="s">
        <v>6</v>
      </c>
      <c r="D54" s="6" t="s">
        <v>14</v>
      </c>
      <c r="E54" s="6" t="n">
        <v>750</v>
      </c>
      <c r="F54" s="7" t="s">
        <v>15</v>
      </c>
    </row>
    <row r="55" customFormat="false" ht="14.25" hidden="false" customHeight="false" outlineLevel="0" collapsed="false">
      <c r="A55" s="5" t="n">
        <v>54</v>
      </c>
      <c r="B55" s="6" t="n">
        <v>18</v>
      </c>
      <c r="C55" s="6" t="s">
        <v>10</v>
      </c>
      <c r="D55" s="6" t="s">
        <v>17</v>
      </c>
      <c r="E55" s="6" t="n">
        <v>80</v>
      </c>
      <c r="F55" s="7" t="s">
        <v>8</v>
      </c>
    </row>
    <row r="56" customFormat="false" ht="14.25" hidden="false" customHeight="false" outlineLevel="0" collapsed="false">
      <c r="A56" s="5" t="n">
        <v>55</v>
      </c>
      <c r="B56" s="6" t="n">
        <v>53</v>
      </c>
      <c r="C56" s="6" t="s">
        <v>10</v>
      </c>
      <c r="D56" s="6" t="s">
        <v>18</v>
      </c>
      <c r="E56" s="6" t="n">
        <v>3500</v>
      </c>
      <c r="F56" s="7" t="s">
        <v>8</v>
      </c>
    </row>
    <row r="57" customFormat="false" ht="14.25" hidden="false" customHeight="false" outlineLevel="0" collapsed="false">
      <c r="A57" s="5" t="n">
        <v>56</v>
      </c>
      <c r="B57" s="6" t="n">
        <v>39</v>
      </c>
      <c r="C57" s="6" t="s">
        <v>6</v>
      </c>
      <c r="D57" s="6" t="s">
        <v>19</v>
      </c>
      <c r="E57" s="6" t="n">
        <v>1400</v>
      </c>
      <c r="F57" s="7" t="s">
        <v>12</v>
      </c>
    </row>
    <row r="58" customFormat="false" ht="14.25" hidden="false" customHeight="false" outlineLevel="0" collapsed="false">
      <c r="A58" s="5" t="n">
        <v>57</v>
      </c>
      <c r="B58" s="6" t="n">
        <v>32</v>
      </c>
      <c r="C58" s="6" t="s">
        <v>10</v>
      </c>
      <c r="D58" s="6" t="s">
        <v>20</v>
      </c>
      <c r="E58" s="6" t="n">
        <v>950</v>
      </c>
      <c r="F58" s="7" t="s">
        <v>8</v>
      </c>
    </row>
    <row r="59" customFormat="false" ht="14.25" hidden="false" customHeight="false" outlineLevel="0" collapsed="false">
      <c r="A59" s="5" t="n">
        <v>58</v>
      </c>
      <c r="B59" s="6" t="n">
        <v>24</v>
      </c>
      <c r="C59" s="6" t="s">
        <v>6</v>
      </c>
      <c r="D59" s="6" t="s">
        <v>21</v>
      </c>
      <c r="E59" s="6" t="n">
        <v>280</v>
      </c>
      <c r="F59" s="7" t="s">
        <v>15</v>
      </c>
    </row>
    <row r="60" customFormat="false" ht="14.25" hidden="false" customHeight="false" outlineLevel="0" collapsed="false">
      <c r="A60" s="5" t="n">
        <v>59</v>
      </c>
      <c r="B60" s="6" t="n">
        <v>31</v>
      </c>
      <c r="C60" s="6" t="s">
        <v>10</v>
      </c>
      <c r="D60" s="6" t="s">
        <v>22</v>
      </c>
      <c r="E60" s="6" t="n">
        <v>650</v>
      </c>
      <c r="F60" s="7" t="s">
        <v>12</v>
      </c>
    </row>
    <row r="61" customFormat="false" ht="14.25" hidden="false" customHeight="false" outlineLevel="0" collapsed="false">
      <c r="A61" s="10" t="n">
        <v>60</v>
      </c>
      <c r="B61" s="11" t="n">
        <v>50</v>
      </c>
      <c r="C61" s="11" t="s">
        <v>6</v>
      </c>
      <c r="D61" s="11" t="s">
        <v>23</v>
      </c>
      <c r="E61" s="11" t="n">
        <v>2300</v>
      </c>
      <c r="F61" s="1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25.91"/>
    <col collapsed="false" customWidth="true" hidden="false" outlineLevel="0" max="2" min="2" style="1" width="29.82"/>
    <col collapsed="false" customWidth="true" hidden="false" outlineLevel="0" max="3" min="3" style="1" width="17.09"/>
    <col collapsed="false" customWidth="true" hidden="false" outlineLevel="0" max="4" min="4" style="1" width="16.36"/>
  </cols>
  <sheetData>
    <row r="2" customFormat="false" ht="14.25" hidden="false" customHeight="false" outlineLevel="0" collapsed="false">
      <c r="A2" s="8" t="s">
        <v>24</v>
      </c>
      <c r="B2" s="8" t="s">
        <v>25</v>
      </c>
      <c r="C2" s="9"/>
      <c r="D2" s="9"/>
    </row>
    <row r="3" customFormat="false" ht="14.25" hidden="false" customHeight="false" outlineLevel="0" collapsed="false">
      <c r="A3" s="9"/>
      <c r="B3" s="9"/>
      <c r="C3" s="9"/>
      <c r="D3" s="9"/>
    </row>
    <row r="4" customFormat="false" ht="15" hidden="false" customHeight="false" outlineLevel="0" collapsed="false">
      <c r="A4" s="18" t="s">
        <v>5</v>
      </c>
      <c r="B4" s="18" t="s">
        <v>26</v>
      </c>
      <c r="C4" s="18" t="s">
        <v>27</v>
      </c>
      <c r="D4" s="18" t="s">
        <v>28</v>
      </c>
    </row>
    <row r="5" customFormat="false" ht="14.25" hidden="false" customHeight="false" outlineLevel="0" collapsed="false">
      <c r="A5" s="19" t="s">
        <v>15</v>
      </c>
      <c r="B5" s="20" t="n">
        <f aca="false">SUMIFS(Data!E2:E61,Data!F2:F61,'Dashboard '!A5)/SUM(Data!E2:E61)</f>
        <v>0.2531788640859</v>
      </c>
      <c r="C5" s="9" t="n">
        <f aca="false">SUMIF(Data!F2:F61,'Dashboard '!A5,Data!E2:E61)</f>
        <v>17920</v>
      </c>
      <c r="D5" s="9" t="n">
        <f aca="false">AVERAGEIF(Data!F2:F61,'Dashboard '!A5,Data!B2:B61)</f>
        <v>36.6315789473684</v>
      </c>
    </row>
    <row r="6" customFormat="false" ht="14.25" hidden="false" customHeight="false" outlineLevel="0" collapsed="false">
      <c r="A6" s="9" t="s">
        <v>29</v>
      </c>
      <c r="B6" s="20" t="n">
        <f aca="false">1-B5</f>
        <v>0.7468211359141</v>
      </c>
      <c r="C6" s="9"/>
      <c r="D6" s="9"/>
    </row>
  </sheetData>
  <dataValidations count="1">
    <dataValidation allowBlank="true" errorStyle="stop" operator="between" showDropDown="false" showErrorMessage="true" showInputMessage="true" sqref="C1 A5" type="list">
      <formula1>Data!$F$2:$F$61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21.36"/>
  </cols>
  <sheetData>
    <row r="3" customFormat="false" ht="14.25" hidden="false" customHeight="false" outlineLevel="0" collapsed="false">
      <c r="A3" s="21" t="s">
        <v>5</v>
      </c>
      <c r="B3" s="22" t="s">
        <v>30</v>
      </c>
    </row>
    <row r="4" customFormat="false" ht="14.25" hidden="false" customHeight="false" outlineLevel="0" collapsed="false">
      <c r="A4" s="23" t="s">
        <v>12</v>
      </c>
      <c r="B4" s="24" t="n">
        <v>21600</v>
      </c>
    </row>
    <row r="5" customFormat="false" ht="14.25" hidden="false" customHeight="false" outlineLevel="0" collapsed="false">
      <c r="A5" s="25" t="s">
        <v>8</v>
      </c>
      <c r="B5" s="26" t="n">
        <v>31260</v>
      </c>
    </row>
    <row r="6" customFormat="false" ht="14.25" hidden="false" customHeight="false" outlineLevel="0" collapsed="false">
      <c r="A6" s="25" t="s">
        <v>15</v>
      </c>
      <c r="B6" s="27" t="n">
        <v>17920</v>
      </c>
    </row>
    <row r="7" customFormat="false" ht="14.25" hidden="false" customHeight="false" outlineLevel="0" collapsed="false">
      <c r="A7" s="28" t="s">
        <v>31</v>
      </c>
      <c r="B7" s="29" t="n">
        <v>70780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15.63"/>
    <col collapsed="false" customWidth="true" hidden="false" outlineLevel="0" max="3" min="3" style="1" width="5.82"/>
    <col collapsed="false" customWidth="true" hidden="false" outlineLevel="0" max="4" min="4" style="1" width="10.36"/>
  </cols>
  <sheetData>
    <row r="1" customFormat="false" ht="14.25" hidden="false" customHeight="false" outlineLevel="0" collapsed="false">
      <c r="A1" s="30" t="s">
        <v>3</v>
      </c>
      <c r="B1" s="31" t="s">
        <v>32</v>
      </c>
      <c r="C1" s="0"/>
      <c r="D1" s="0"/>
    </row>
    <row r="2" customFormat="false" ht="14.25" hidden="false" customHeight="false" outlineLevel="0" collapsed="false">
      <c r="A2" s="0"/>
      <c r="B2" s="0"/>
      <c r="C2" s="0"/>
      <c r="D2" s="0"/>
    </row>
    <row r="3" customFormat="false" ht="14.25" hidden="false" customHeight="false" outlineLevel="0" collapsed="false">
      <c r="A3" s="32" t="s">
        <v>30</v>
      </c>
      <c r="B3" s="33" t="s">
        <v>2</v>
      </c>
      <c r="C3" s="34"/>
      <c r="D3" s="35"/>
    </row>
    <row r="4" customFormat="false" ht="14.25" hidden="false" customHeight="false" outlineLevel="0" collapsed="false">
      <c r="A4" s="36" t="s">
        <v>5</v>
      </c>
      <c r="B4" s="37" t="s">
        <v>6</v>
      </c>
      <c r="C4" s="38" t="s">
        <v>10</v>
      </c>
      <c r="D4" s="39" t="s">
        <v>31</v>
      </c>
    </row>
    <row r="5" customFormat="false" ht="14.25" hidden="false" customHeight="false" outlineLevel="0" collapsed="false">
      <c r="A5" s="23" t="s">
        <v>12</v>
      </c>
      <c r="B5" s="40" t="n">
        <v>9950</v>
      </c>
      <c r="C5" s="41" t="n">
        <v>11650</v>
      </c>
      <c r="D5" s="42" t="n">
        <v>21600</v>
      </c>
    </row>
    <row r="6" customFormat="false" ht="14.25" hidden="false" customHeight="false" outlineLevel="0" collapsed="false">
      <c r="A6" s="25" t="s">
        <v>8</v>
      </c>
      <c r="B6" s="43" t="n">
        <v>5400</v>
      </c>
      <c r="C6" s="44" t="n">
        <v>25860</v>
      </c>
      <c r="D6" s="45" t="n">
        <v>31260</v>
      </c>
    </row>
    <row r="7" customFormat="false" ht="14.25" hidden="false" customHeight="false" outlineLevel="0" collapsed="false">
      <c r="A7" s="25" t="s">
        <v>15</v>
      </c>
      <c r="B7" s="46" t="n">
        <v>17800</v>
      </c>
      <c r="C7" s="47" t="n">
        <v>120</v>
      </c>
      <c r="D7" s="48" t="n">
        <v>17920</v>
      </c>
    </row>
    <row r="8" customFormat="false" ht="14.25" hidden="false" customHeight="false" outlineLevel="0" collapsed="false">
      <c r="A8" s="28" t="s">
        <v>31</v>
      </c>
      <c r="B8" s="49" t="n">
        <v>33150</v>
      </c>
      <c r="C8" s="50" t="n">
        <v>37630</v>
      </c>
      <c r="D8" s="29" t="n">
        <v>70780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21.36"/>
  </cols>
  <sheetData>
    <row r="3" customFormat="false" ht="14.25" hidden="false" customHeight="false" outlineLevel="0" collapsed="false">
      <c r="A3" s="21" t="s">
        <v>2</v>
      </c>
      <c r="B3" s="22" t="s">
        <v>30</v>
      </c>
    </row>
    <row r="4" customFormat="false" ht="14.25" hidden="false" customHeight="false" outlineLevel="0" collapsed="false">
      <c r="A4" s="23" t="s">
        <v>6</v>
      </c>
      <c r="B4" s="24" t="n">
        <v>33150</v>
      </c>
    </row>
    <row r="5" customFormat="false" ht="14.25" hidden="false" customHeight="false" outlineLevel="0" collapsed="false">
      <c r="A5" s="25" t="s">
        <v>10</v>
      </c>
      <c r="B5" s="27" t="n">
        <v>37630</v>
      </c>
    </row>
    <row r="6" customFormat="false" ht="14.25" hidden="false" customHeight="false" outlineLevel="0" collapsed="false">
      <c r="A6" s="28" t="s">
        <v>31</v>
      </c>
      <c r="B6" s="29" t="n">
        <v>70780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15.63"/>
    <col collapsed="false" customWidth="true" hidden="false" outlineLevel="0" max="3" min="3" style="1" width="5.82"/>
    <col collapsed="false" customWidth="true" hidden="false" outlineLevel="0" max="4" min="4" style="1" width="10.36"/>
    <col collapsed="false" customWidth="true" hidden="false" outlineLevel="0" max="6" min="6" style="1" width="27.18"/>
  </cols>
  <sheetData>
    <row r="3" customFormat="false" ht="14.25" hidden="false" customHeight="false" outlineLevel="0" collapsed="false">
      <c r="A3" s="32" t="s">
        <v>30</v>
      </c>
      <c r="B3" s="33" t="s">
        <v>2</v>
      </c>
      <c r="C3" s="34"/>
      <c r="D3" s="35"/>
    </row>
    <row r="4" customFormat="false" ht="14.25" hidden="false" customHeight="false" outlineLevel="0" collapsed="false">
      <c r="A4" s="36" t="s">
        <v>5</v>
      </c>
      <c r="B4" s="37" t="s">
        <v>6</v>
      </c>
      <c r="C4" s="38" t="s">
        <v>10</v>
      </c>
      <c r="D4" s="39" t="s">
        <v>31</v>
      </c>
    </row>
    <row r="5" customFormat="false" ht="14.25" hidden="false" customHeight="false" outlineLevel="0" collapsed="false">
      <c r="A5" s="23" t="s">
        <v>12</v>
      </c>
      <c r="B5" s="40" t="n">
        <v>9950</v>
      </c>
      <c r="C5" s="41" t="n">
        <v>11650</v>
      </c>
      <c r="D5" s="42" t="n">
        <v>21600</v>
      </c>
    </row>
    <row r="6" customFormat="false" ht="14.25" hidden="false" customHeight="false" outlineLevel="0" collapsed="false">
      <c r="A6" s="25" t="s">
        <v>8</v>
      </c>
      <c r="B6" s="43" t="n">
        <v>5400</v>
      </c>
      <c r="C6" s="44" t="n">
        <v>25860</v>
      </c>
      <c r="D6" s="45" t="n">
        <v>31260</v>
      </c>
    </row>
    <row r="7" customFormat="false" ht="14.25" hidden="false" customHeight="false" outlineLevel="0" collapsed="false">
      <c r="A7" s="25" t="s">
        <v>15</v>
      </c>
      <c r="B7" s="46" t="n">
        <v>17800</v>
      </c>
      <c r="C7" s="47" t="n">
        <v>120</v>
      </c>
      <c r="D7" s="48" t="n">
        <v>17920</v>
      </c>
    </row>
    <row r="8" customFormat="false" ht="14.25" hidden="false" customHeight="false" outlineLevel="0" collapsed="false">
      <c r="A8" s="28" t="s">
        <v>31</v>
      </c>
      <c r="B8" s="49" t="n">
        <v>33150</v>
      </c>
      <c r="C8" s="50" t="n">
        <v>37630</v>
      </c>
      <c r="D8" s="29" t="n">
        <v>70780</v>
      </c>
    </row>
    <row r="10" customFormat="false" ht="120.75" hidden="false" customHeight="true" outlineLevel="0" collapsed="false">
      <c r="F10" s="5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15.63"/>
    <col collapsed="false" customWidth="true" hidden="false" outlineLevel="0" max="3" min="3" style="1" width="5.82"/>
    <col collapsed="false" customWidth="true" hidden="false" outlineLevel="0" max="4" min="4" style="1" width="10.36"/>
  </cols>
  <sheetData>
    <row r="3" customFormat="false" ht="14.25" hidden="false" customHeight="false" outlineLevel="0" collapsed="false">
      <c r="A3" s="32" t="s">
        <v>30</v>
      </c>
      <c r="B3" s="33" t="s">
        <v>2</v>
      </c>
      <c r="C3" s="34"/>
      <c r="D3" s="35"/>
    </row>
    <row r="4" customFormat="false" ht="14.25" hidden="false" customHeight="false" outlineLevel="0" collapsed="false">
      <c r="A4" s="36" t="s">
        <v>5</v>
      </c>
      <c r="B4" s="37" t="s">
        <v>6</v>
      </c>
      <c r="C4" s="38" t="s">
        <v>10</v>
      </c>
      <c r="D4" s="39" t="s">
        <v>31</v>
      </c>
    </row>
    <row r="5" customFormat="false" ht="14.25" hidden="false" customHeight="false" outlineLevel="0" collapsed="false">
      <c r="A5" s="23" t="s">
        <v>12</v>
      </c>
      <c r="B5" s="40" t="n">
        <v>9950</v>
      </c>
      <c r="C5" s="41" t="n">
        <v>11650</v>
      </c>
      <c r="D5" s="42" t="n">
        <v>21600</v>
      </c>
    </row>
    <row r="6" customFormat="false" ht="14.25" hidden="false" customHeight="false" outlineLevel="0" collapsed="false">
      <c r="A6" s="25" t="s">
        <v>8</v>
      </c>
      <c r="B6" s="43" t="n">
        <v>5400</v>
      </c>
      <c r="C6" s="44" t="n">
        <v>25860</v>
      </c>
      <c r="D6" s="45" t="n">
        <v>31260</v>
      </c>
    </row>
    <row r="7" customFormat="false" ht="14.25" hidden="false" customHeight="false" outlineLevel="0" collapsed="false">
      <c r="A7" s="25" t="s">
        <v>15</v>
      </c>
      <c r="B7" s="46" t="n">
        <v>17800</v>
      </c>
      <c r="C7" s="47" t="n">
        <v>120</v>
      </c>
      <c r="D7" s="48" t="n">
        <v>17920</v>
      </c>
    </row>
    <row r="8" customFormat="false" ht="14.25" hidden="false" customHeight="false" outlineLevel="0" collapsed="false">
      <c r="A8" s="28" t="s">
        <v>31</v>
      </c>
      <c r="B8" s="49" t="n">
        <v>33150</v>
      </c>
      <c r="C8" s="50" t="n">
        <v>37630</v>
      </c>
      <c r="D8" s="29" t="n">
        <v>70780</v>
      </c>
    </row>
    <row r="11" customFormat="false" ht="91.5" hidden="false" customHeight="true" outlineLevel="0" collapsed="false">
      <c r="A11" s="5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2025-04-15T15:38:24Z</dcterms:created>
  <dc:creator>Raissa.Matho.Mekjele</dc:creator>
  <dc:description/>
  <dc:language>en-US</dc:language>
  <cp:lastModifiedBy/>
  <dcterms:modified xsi:type="dcterms:W3CDTF">2026-02-23T18:33:37Z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